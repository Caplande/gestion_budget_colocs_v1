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es_dossiers_synchronises\gestion_budget_colocs_v1\documentation\"/>
    </mc:Choice>
  </mc:AlternateContent>
  <xr:revisionPtr revIDLastSave="0" documentId="13_ncr:1_{445AD54F-C4D7-4844-A256-FC737A980AF9}" xr6:coauthVersionLast="47" xr6:coauthVersionMax="47" xr10:uidLastSave="{00000000-0000-0000-0000-000000000000}"/>
  <bookViews>
    <workbookView xWindow="-103" yWindow="-103" windowWidth="33120" windowHeight="18000" activeTab="5" xr2:uid="{00000000-000D-0000-FFFF-FFFF00000000}"/>
  </bookViews>
  <sheets>
    <sheet name="Plan comptable" sheetId="2" r:id="rId1"/>
    <sheet name="Cas pratiques" sheetId="1" r:id="rId2"/>
    <sheet name="Memo" sheetId="3" r:id="rId3"/>
    <sheet name="Types de comptes" sheetId="4" r:id="rId4"/>
    <sheet name="Simulation" sheetId="6" r:id="rId5"/>
    <sheet name="Vocabulaire" sheetId="7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3" i="4" l="1" a="1"/>
  <c r="M3" i="7" a="1"/>
  <c r="M3" i="6" a="1"/>
  <c r="D3" i="3" a="1"/>
  <c r="E3" i="1" a="1"/>
  <c r="D3" i="2" a="1"/>
  <c r="D3" i="2" l="1"/>
  <c r="E3" i="1"/>
  <c r="D3" i="3"/>
  <c r="M3" i="6"/>
  <c r="M3" i="7"/>
  <c r="D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<sst xmlns="http://schemas.openxmlformats.org/spreadsheetml/2006/main" count="246" uniqueCount="214">
  <si>
    <t>Cas pratique</t>
  </si>
  <si>
    <t>Compte Débit</t>
  </si>
  <si>
    <t>Compte Crédit</t>
  </si>
  <si>
    <t>Description</t>
  </si>
  <si>
    <t>Achat alimentation</t>
  </si>
  <si>
    <t>6061 Alimentation</t>
  </si>
  <si>
    <t>410_Membre</t>
  </si>
  <si>
    <t>Un membre avance des courses</t>
  </si>
  <si>
    <t>Remboursement membre</t>
  </si>
  <si>
    <t>512 Banque</t>
  </si>
  <si>
    <t>Remboursement depuis le compte commun</t>
  </si>
  <si>
    <t>Achat gros bien (canapé)</t>
  </si>
  <si>
    <t>2183 Mobilier</t>
  </si>
  <si>
    <t>Avance pour une immobilisation</t>
  </si>
  <si>
    <t>Charge récurrente prélevée</t>
  </si>
  <si>
    <t>6062 Énergie/Charges</t>
  </si>
  <si>
    <t>Prélèvement automatique</t>
  </si>
  <si>
    <t>Achat personnel payé commun</t>
  </si>
  <si>
    <t>467_Membre</t>
  </si>
  <si>
    <t>Dépense perso payée par erreur/choix</t>
  </si>
  <si>
    <t>Remboursement achat personnel</t>
  </si>
  <si>
    <t>Le membre rembourse le compte commun</t>
  </si>
  <si>
    <t>Participation inégale</t>
  </si>
  <si>
    <t>606x Charge</t>
  </si>
  <si>
    <t>Un membre avance une dépense commune</t>
  </si>
  <si>
    <t>Transfert entre membres</t>
  </si>
  <si>
    <t>410_MembreA</t>
  </si>
  <si>
    <t>410_MembreB</t>
  </si>
  <si>
    <t>Remboursement direct entre membres</t>
  </si>
  <si>
    <t>Alimentation compte commun</t>
  </si>
  <si>
    <t>431 Contribution Membre</t>
  </si>
  <si>
    <t>Versement des colocs dans la caisse</t>
  </si>
  <si>
    <t>Capitaux propres</t>
  </si>
  <si>
    <t>Contributions des membres</t>
  </si>
  <si>
    <t>431</t>
  </si>
  <si>
    <t>Charge</t>
  </si>
  <si>
    <t>Loisirs / sorties</t>
  </si>
  <si>
    <t>6065</t>
  </si>
  <si>
    <t>Loyer / charges logement</t>
  </si>
  <si>
    <t>6064</t>
  </si>
  <si>
    <t>Internet / télécom</t>
  </si>
  <si>
    <t>6063</t>
  </si>
  <si>
    <t>Électricité / énergie</t>
  </si>
  <si>
    <t>6062</t>
  </si>
  <si>
    <t>Alimentation</t>
  </si>
  <si>
    <t>6061</t>
  </si>
  <si>
    <t>Passif</t>
  </si>
  <si>
    <t>Achats personnels à rembourser</t>
  </si>
  <si>
    <t>Avances / dettes envers les membres</t>
  </si>
  <si>
    <t>Actif</t>
  </si>
  <si>
    <t>Mobilier (gros achats : canapé…)</t>
  </si>
  <si>
    <t>2183</t>
  </si>
  <si>
    <t>Caisse</t>
  </si>
  <si>
    <t>53</t>
  </si>
  <si>
    <t>Banque - compte commun</t>
  </si>
  <si>
    <t>512</t>
  </si>
  <si>
    <t>Type</t>
  </si>
  <si>
    <t>Libellé</t>
  </si>
  <si>
    <t>N° Compte</t>
  </si>
  <si>
    <t>Débit = ce qui ENTRE</t>
  </si>
  <si>
    <t>Crédit = ce qui SORT</t>
  </si>
  <si>
    <t>1. Comptes d’Actif</t>
  </si>
  <si>
    <t>Les comptes d’actif regroupent tout ce que la colocation « possède ». Leur solde est normalement</t>
  </si>
  <si>
    <t>débiteur.</t>
  </si>
  <si>
    <t>Exemples : Caisse, Banque, Avances colocataires, Immobilisations communes (canapé,</t>
  </si>
  <si>
    <t>électroménager).</t>
  </si>
  <si>
    <t>2. Comptes de Passif</t>
  </si>
  <si>
    <t>Ils représentent ce que la colocation « doit » ou ce qui appartient aux colocataires en parts. Leur</t>
  </si>
  <si>
    <t>solde est normalement créditeur.</t>
  </si>
  <si>
    <t>Exemples : Dettes colocataires, Parts de chacun dans le patrimoine commun.</t>
  </si>
  <si>
    <t>3. Comptes de Charges</t>
  </si>
  <si>
    <t>Les charges représentent les consommations régulières ou ponctuelles : loyer, eau, électricité,</t>
  </si>
  <si>
    <t>internet, courses, réparations. Leur solde est débiteur.</t>
  </si>
  <si>
    <t>4. Comptes de Produits</t>
  </si>
  <si>
    <t>Les produits représentent les apports d’argent : dépôts sur le compte commun, remboursement</t>
  </si>
  <si>
    <t>d’un colocataire, participation d’un invité, etc. Leur solde est créditeur.</t>
  </si>
  <si>
    <t>5. Règle Débit / Crédit (mnémonique simple)</t>
  </si>
  <si>
    <t>• Un compte d’actif augmente au Débit et diminue au Crédit.</t>
  </si>
  <si>
    <t>• Un compte de passif augmente au Crédit et diminue au Débit.</t>
  </si>
  <si>
    <t>• Une charge augmente au Débit (ça coûte).</t>
  </si>
  <si>
    <t>• Un produit augmente au Crédit (ça rapporte).</t>
  </si>
  <si>
    <t>6. Logique pédagogique</t>
  </si>
  <si>
    <t>• Le Débit correspond à ce qui « entre » dans le patrimoine commun ou à un coût.</t>
  </si>
  <si>
    <t>• Le Crédit correspond à ce qui « sort » ou à ce qui finance.</t>
  </si>
  <si>
    <t>7. Exemple concret</t>
  </si>
  <si>
    <t>Achat d’un canapé 600 € payé par Coloc A.</t>
  </si>
  <si>
    <t>• Débit : Immobilisation canapé 600 € (l’actif augmente)</t>
  </si>
  <si>
    <t>• Crédit : Compte Coloc A – Dette/Part 600 € (il a financé l’achat)</t>
  </si>
  <si>
    <t>8. Résumé ultra-simple</t>
  </si>
  <si>
    <t>Actifs = Ce qu’on possède (Débit).</t>
  </si>
  <si>
    <t>Passifs = Ce qu’on doit ou qui finance (Crédit).</t>
  </si>
  <si>
    <t>Charges = Ce qui coûte (Débit).</t>
  </si>
  <si>
    <t>Produits = Ce qui rapporte (Crédit).</t>
  </si>
  <si>
    <t>Commenter</t>
  </si>
  <si>
    <t>Fiche pédagogique : Les types de comptes en comptabilité</t>
  </si>
  <si>
    <t>Créé le: Samedi 6 Décembre 2025 05:31</t>
  </si>
  <si>
    <t>Modifié le: Samedi 6 Décembre 2025 05:31</t>
  </si>
  <si>
    <t>Créé le: Samedi 6 Décembre 2025 05:33</t>
  </si>
  <si>
    <t>Modifié le: Samedi 6 Décembre 2025 05:33</t>
  </si>
  <si>
    <t>Créé le: Samedi 6 Décembre 2025 05:34</t>
  </si>
  <si>
    <t>Modifié le: Samedi 6 Décembre 2025 05:34</t>
  </si>
  <si>
    <t>Mnémonie</t>
  </si>
  <si>
    <t>Un compte créditeur est un compte où le total du crédit est supérieur au total du débit (solde&lt;0)</t>
  </si>
  <si>
    <t>Un compte débiteur est un compte où le total du débit est supérieur au total du crédit (solde&gt;0)</t>
  </si>
  <si>
    <t>---&gt; Colonne de gauche dans les tableaux débit/crédit</t>
  </si>
  <si>
    <t>---&gt; Colonne de droite dans les tableaux débit/crédit</t>
  </si>
  <si>
    <r>
      <rPr>
        <b/>
        <sz val="11"/>
        <color theme="1"/>
        <rFont val="Calibri"/>
        <family val="2"/>
        <scheme val="minor"/>
      </rPr>
      <t>Solde</t>
    </r>
    <r>
      <rPr>
        <sz val="11"/>
        <color theme="1"/>
        <rFont val="Calibri"/>
        <family val="2"/>
        <scheme val="minor"/>
      </rPr>
      <t xml:space="preserve"> =  total débit - total crédit</t>
    </r>
  </si>
  <si>
    <t>Créé le: Dimanche 28 Décembre 2025 15:22</t>
  </si>
  <si>
    <t>Modifié le: Dimanche 28 Décembre 2025 15:22</t>
  </si>
  <si>
    <t>Simulation</t>
  </si>
  <si>
    <t>Comptes de personnes (classe 4 – tiers)</t>
  </si>
  <si>
    <t>Solde :</t>
  </si>
  <si>
    <t>débiteur → le coloc doit de l’argent à la coloc</t>
  </si>
  <si>
    <t>créditeur → la coloc lui doit de l’argent</t>
  </si>
  <si>
    <t>Toujours débités lors d’une dépense.</t>
  </si>
  <si>
    <t>Même si en pratique c’est souvent un coloc qui paie.</t>
  </si>
  <si>
    <t xml:space="preserve">  218 Mobilier</t>
  </si>
  <si>
    <t xml:space="preserve">  2183 Electroménager</t>
  </si>
  <si>
    <t xml:space="preserve">  2184 Mobilier commun</t>
  </si>
  <si>
    <t xml:space="preserve">  455 Comptes courants colocs</t>
  </si>
  <si>
    <t xml:space="preserve">    455001 Yvon</t>
  </si>
  <si>
    <t xml:space="preserve">    455002 Alice</t>
  </si>
  <si>
    <t xml:space="preserve">    455003 Bob</t>
  </si>
  <si>
    <t xml:space="preserve">  512 Banque</t>
  </si>
  <si>
    <t xml:space="preserve">  531 Caisse</t>
  </si>
  <si>
    <t xml:space="preserve">  602 Courses</t>
  </si>
  <si>
    <t xml:space="preserve">  6061 Eau</t>
  </si>
  <si>
    <t xml:space="preserve">  6061E Electricité</t>
  </si>
  <si>
    <t xml:space="preserve">  6061G Gaz</t>
  </si>
  <si>
    <t xml:space="preserve">  6062 Produits ménagers</t>
  </si>
  <si>
    <t xml:space="preserve">  6063 Fournitures entretien</t>
  </si>
  <si>
    <t xml:space="preserve">  613 Loyer</t>
  </si>
  <si>
    <t xml:space="preserve">  615 Entretien réparations</t>
  </si>
  <si>
    <t xml:space="preserve">  616 Assurances</t>
  </si>
  <si>
    <t xml:space="preserve">  626 Internet</t>
  </si>
  <si>
    <t xml:space="preserve">  618 Divers</t>
  </si>
  <si>
    <t xml:space="preserve">  758 Produits divers</t>
  </si>
  <si>
    <t xml:space="preserve">  471 Charges à répartir</t>
  </si>
  <si>
    <t xml:space="preserve">  472 Charges constatées d’avance</t>
  </si>
  <si>
    <t xml:space="preserve">  681 Dotations amortissements</t>
  </si>
  <si>
    <t>Relatif à</t>
  </si>
  <si>
    <t>La colocation</t>
  </si>
  <si>
    <t>Aux colocataires</t>
  </si>
  <si>
    <t>Nature de la dépense</t>
  </si>
  <si>
    <t>Compte de trésorerie (classe 5 - Financiers)</t>
  </si>
  <si>
    <t>Comptes de charges (classe 6 - Charges)</t>
  </si>
  <si>
    <t>Comptes d’investissements (classe 2 - Immobilisations)</t>
  </si>
  <si>
    <t>Comptes de produits (classe 7 - Produits)</t>
  </si>
  <si>
    <t>Comptes transitoires (classe 4)</t>
  </si>
  <si>
    <t>Comptes de dotations (classe 6)</t>
  </si>
  <si>
    <t>Créé le: Jeudi 1 Janvier 2026 11:35</t>
  </si>
  <si>
    <t>Modifié le: Jeudi 1 Janvier 2026 11:35</t>
  </si>
  <si>
    <t>Vocabulaire</t>
  </si>
  <si>
    <t>Mot clé : ÉVÉNEMENT</t>
  </si>
  <si>
    <t>Un fait réel, daté, immuable, saisi par l’utilisateur.</t>
  </si>
  <si>
    <t>Exemples :</t>
  </si>
  <si>
    <t>Courses du 12/03</t>
  </si>
  <si>
    <t>Loyer d’avril</t>
  </si>
  <si>
    <t>Achat d’un frigo</t>
  </si>
  <si>
    <t>Facture EDF</t>
  </si>
  <si>
    <t>📌 Caractéristiques :</t>
  </si>
  <si>
    <t>pas de débit / crédit</t>
  </si>
  <si>
    <t>pas de solde</t>
  </si>
  <si>
    <t>peut exister seul</t>
  </si>
  <si>
    <t>peut être rattaché à un contexte</t>
  </si>
  <si>
    <t>ÉVÉNEMENT MÉTIER</t>
  </si>
  <si>
    <t>evenement</t>
  </si>
  <si>
    <t>Table :</t>
  </si>
  <si>
    <t>OPÉRATION INDIVIDUALISÉE (OI)</t>
  </si>
  <si>
    <t>👉 Mot clé : CONTEXTE / PROJET</t>
  </si>
  <si>
    <t>Un regroupement logique d’événements.</t>
  </si>
  <si>
    <t>Voyage à Rome</t>
  </si>
  <si>
    <t>Travaux cuisine</t>
  </si>
  <si>
    <t>Achat voiture</t>
  </si>
  <si>
    <t>analytique</t>
  </si>
  <si>
    <t>optionnelle</t>
  </si>
  <si>
    <t>peut être clôturée</t>
  </si>
  <si>
    <t>ne modifie jamais les événements</t>
  </si>
  <si>
    <t>📦 Tables :</t>
  </si>
  <si>
    <t>operation_individualisee evenement_oi</t>
  </si>
  <si>
    <t>OPÉRATION COMPTABLE</t>
  </si>
  <si>
    <t>👉 Mot clé : OPÉRATION</t>
  </si>
  <si>
    <t>Une traduction comptable d’un événement.</t>
  </si>
  <si>
    <t>“Charge courses”</t>
  </si>
  <si>
    <t>“Avance Yvon”</t>
  </si>
  <si>
    <t>“Dette Bob”</t>
  </si>
  <si>
    <t>invisible pour l’utilisateur</t>
  </si>
  <si>
    <t>générée automatiquement</t>
  </si>
  <si>
    <t>équilibrée (débit = crédit)</t>
  </si>
  <si>
    <t>📦 Table :</t>
  </si>
  <si>
    <t>operation</t>
  </si>
  <si>
    <t>ÉCRITURE COMPTABLE</t>
  </si>
  <si>
    <t>👉 Mot clé : ÉCRITURE</t>
  </si>
  <si>
    <t>Une ligne débit OU crédit dans un compte.</t>
  </si>
  <si>
    <t>Débit 606 – Courses</t>
  </si>
  <si>
    <t>Crédit 455 – Yvon</t>
  </si>
  <si>
    <t>toujours liée à une opération</t>
  </si>
  <si>
    <t>porte un montant</t>
  </si>
  <si>
    <t>jamais seule</t>
  </si>
  <si>
    <t>ecriture</t>
  </si>
  <si>
    <t>COMPTE</t>
  </si>
  <si>
    <t>👉 Mot clé : COMPTE</t>
  </si>
  <si>
    <t>Un “bac” comptable qui reçoit des montants.</t>
  </si>
  <si>
    <t>606 – Achats</t>
  </si>
  <si>
    <t>455 – Associés</t>
  </si>
  <si>
    <t>512 – Banque</t>
  </si>
  <si>
    <t>compte</t>
  </si>
  <si>
    <t>APUREMENT (TECHNIQUE)</t>
  </si>
  <si>
    <t>👉 Mot clé : LETTRAGE INTERNE</t>
  </si>
  <si>
    <t>Neutralisation automatique des avances et dettes.</t>
  </si>
  <si>
    <t>purement technique</t>
  </si>
  <si>
    <t>jamais visible</t>
  </si>
  <si>
    <t>garantit les soldes justes</t>
  </si>
  <si>
    <t>apurement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</si>
</sst>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theme="1"/>
      <name val="Arial Unicode MS"/>
      <family val="2"/>
    </font>
    <font>
      <sz val="8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BDD7EE"/>
        <bgColor rgb="FFBDD7EE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3" fillId="0" borderId="0" xfId="0" applyFont="1"/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/>
    </xf>
    <xf numFmtId="0" fontId="0" fillId="0" borderId="0" xfId="0" quotePrefix="1"/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9" fillId="6" borderId="0" xfId="0" applyFont="1" applyFill="1" applyAlignment="1">
      <alignment vertical="center"/>
    </xf>
    <xf numFmtId="0" fontId="4" fillId="0" borderId="0" xfId="0" applyFont="1" applyAlignment="1">
      <alignment horizontal="right" vertical="center"/>
    </xf>
    <xf numFmtId="0" fontId="8" fillId="0" borderId="0" xfId="0" applyFont="1" applyAlignment="1">
      <alignment vertical="center"/>
    </xf>
    <xf numFmtId="4" fontId="0" fillId="0" borderId="0" xfId="0" applyNumberFormat="1" applyAlignment="1">
      <alignment horizontal="right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2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8</xdr:col>
      <xdr:colOff>641025</xdr:colOff>
      <xdr:row>0</xdr:row>
      <xdr:rowOff>180000</xdr:rowOff>
    </xdr:to>
    <xdr:sp macro="[0]!HOrodater_creation" textlink="">
      <xdr:nvSpPr>
        <xdr:cNvPr id="4" name="Plaque 1">
          <a:extLst>
            <a:ext uri="{FF2B5EF4-FFF2-40B4-BE49-F238E27FC236}">
              <a16:creationId xmlns:a16="http://schemas.microsoft.com/office/drawing/2014/main" id="{DAF40B7A-14EA-48FB-B0E5-25866710276A}"/>
            </a:ext>
          </a:extLst>
        </xdr:cNvPr>
        <xdr:cNvSpPr/>
      </xdr:nvSpPr>
      <xdr:spPr>
        <a:xfrm>
          <a:off x="8697686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5</xdr:col>
      <xdr:colOff>1361</xdr:colOff>
      <xdr:row>1</xdr:row>
      <xdr:rowOff>152399</xdr:rowOff>
    </xdr:from>
    <xdr:to>
      <xdr:col>8</xdr:col>
      <xdr:colOff>642386</xdr:colOff>
      <xdr:row>2</xdr:row>
      <xdr:rowOff>141899</xdr:rowOff>
    </xdr:to>
    <xdr:sp macro="[0]!HOrodater_modif" textlink="">
      <xdr:nvSpPr>
        <xdr:cNvPr id="5" name="Plaque 2">
          <a:extLst>
            <a:ext uri="{FF2B5EF4-FFF2-40B4-BE49-F238E27FC236}">
              <a16:creationId xmlns:a16="http://schemas.microsoft.com/office/drawing/2014/main" id="{AACDE534-871E-43E5-A423-C82774F7691F}"/>
            </a:ext>
          </a:extLst>
        </xdr:cNvPr>
        <xdr:cNvSpPr/>
      </xdr:nvSpPr>
      <xdr:spPr>
        <a:xfrm>
          <a:off x="8699047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8</xdr:col>
      <xdr:colOff>314453</xdr:colOff>
      <xdr:row>0</xdr:row>
      <xdr:rowOff>180000</xdr:rowOff>
    </xdr:to>
    <xdr:sp macro="[0]!HOrodater_creation" textlink="">
      <xdr:nvSpPr>
        <xdr:cNvPr id="2" name="Plaque 1">
          <a:extLst>
            <a:ext uri="{FF2B5EF4-FFF2-40B4-BE49-F238E27FC236}">
              <a16:creationId xmlns:a16="http://schemas.microsoft.com/office/drawing/2014/main" id="{84AAAE67-9EF5-41D7-B979-BCC00807E431}"/>
            </a:ext>
          </a:extLst>
        </xdr:cNvPr>
        <xdr:cNvSpPr/>
      </xdr:nvSpPr>
      <xdr:spPr>
        <a:xfrm>
          <a:off x="10194471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6</xdr:col>
      <xdr:colOff>1361</xdr:colOff>
      <xdr:row>1</xdr:row>
      <xdr:rowOff>152399</xdr:rowOff>
    </xdr:from>
    <xdr:to>
      <xdr:col>8</xdr:col>
      <xdr:colOff>315814</xdr:colOff>
      <xdr:row>2</xdr:row>
      <xdr:rowOff>141899</xdr:rowOff>
    </xdr:to>
    <xdr:sp macro="[0]!HOrodater_modif" textlink="">
      <xdr:nvSpPr>
        <xdr:cNvPr id="3" name="Plaque 2">
          <a:extLst>
            <a:ext uri="{FF2B5EF4-FFF2-40B4-BE49-F238E27FC236}">
              <a16:creationId xmlns:a16="http://schemas.microsoft.com/office/drawing/2014/main" id="{D281B7F7-0746-46F8-95FA-AB2F9EEA3F74}"/>
            </a:ext>
          </a:extLst>
        </xdr:cNvPr>
        <xdr:cNvSpPr/>
      </xdr:nvSpPr>
      <xdr:spPr>
        <a:xfrm>
          <a:off x="10195832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7</xdr:col>
      <xdr:colOff>53196</xdr:colOff>
      <xdr:row>0</xdr:row>
      <xdr:rowOff>180000</xdr:rowOff>
    </xdr:to>
    <xdr:sp macro="[0]!HOrodater_creation" textlink="">
      <xdr:nvSpPr>
        <xdr:cNvPr id="2" name="Plaque 1">
          <a:extLst>
            <a:ext uri="{FF2B5EF4-FFF2-40B4-BE49-F238E27FC236}">
              <a16:creationId xmlns:a16="http://schemas.microsoft.com/office/drawing/2014/main" id="{493C9A1A-CA39-459A-AFEB-013081FDF7FE}"/>
            </a:ext>
          </a:extLst>
        </xdr:cNvPr>
        <xdr:cNvSpPr/>
      </xdr:nvSpPr>
      <xdr:spPr>
        <a:xfrm>
          <a:off x="7053943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5</xdr:col>
      <xdr:colOff>1361</xdr:colOff>
      <xdr:row>1</xdr:row>
      <xdr:rowOff>152399</xdr:rowOff>
    </xdr:from>
    <xdr:to>
      <xdr:col>7</xdr:col>
      <xdr:colOff>54557</xdr:colOff>
      <xdr:row>2</xdr:row>
      <xdr:rowOff>141899</xdr:rowOff>
    </xdr:to>
    <xdr:sp macro="[0]!HOrodater_modif" textlink="">
      <xdr:nvSpPr>
        <xdr:cNvPr id="3" name="Plaque 2">
          <a:extLst>
            <a:ext uri="{FF2B5EF4-FFF2-40B4-BE49-F238E27FC236}">
              <a16:creationId xmlns:a16="http://schemas.microsoft.com/office/drawing/2014/main" id="{D0D2EA10-8D3C-4E33-ADA4-CE2D725D0240}"/>
            </a:ext>
          </a:extLst>
        </xdr:cNvPr>
        <xdr:cNvSpPr/>
      </xdr:nvSpPr>
      <xdr:spPr>
        <a:xfrm>
          <a:off x="7055304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7</xdr:col>
      <xdr:colOff>53196</xdr:colOff>
      <xdr:row>0</xdr:row>
      <xdr:rowOff>180000</xdr:rowOff>
    </xdr:to>
    <xdr:sp macro="[0]!HOrodater_creation" textlink="">
      <xdr:nvSpPr>
        <xdr:cNvPr id="2" name="Plaque 1">
          <a:extLst>
            <a:ext uri="{FF2B5EF4-FFF2-40B4-BE49-F238E27FC236}">
              <a16:creationId xmlns:a16="http://schemas.microsoft.com/office/drawing/2014/main" id="{13B8F07D-6350-4DE2-9285-1EC1BC8F253A}"/>
            </a:ext>
          </a:extLst>
        </xdr:cNvPr>
        <xdr:cNvSpPr/>
      </xdr:nvSpPr>
      <xdr:spPr>
        <a:xfrm>
          <a:off x="8305800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5</xdr:col>
      <xdr:colOff>1361</xdr:colOff>
      <xdr:row>1</xdr:row>
      <xdr:rowOff>152399</xdr:rowOff>
    </xdr:from>
    <xdr:to>
      <xdr:col>7</xdr:col>
      <xdr:colOff>54557</xdr:colOff>
      <xdr:row>2</xdr:row>
      <xdr:rowOff>141899</xdr:rowOff>
    </xdr:to>
    <xdr:sp macro="[0]!HOrodater_modif" textlink="">
      <xdr:nvSpPr>
        <xdr:cNvPr id="3" name="Plaque 2">
          <a:extLst>
            <a:ext uri="{FF2B5EF4-FFF2-40B4-BE49-F238E27FC236}">
              <a16:creationId xmlns:a16="http://schemas.microsoft.com/office/drawing/2014/main" id="{DB006377-D800-4D60-9075-9497039EBF33}"/>
            </a:ext>
          </a:extLst>
        </xdr:cNvPr>
        <xdr:cNvSpPr/>
      </xdr:nvSpPr>
      <xdr:spPr>
        <a:xfrm>
          <a:off x="8307161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16</xdr:col>
      <xdr:colOff>53196</xdr:colOff>
      <xdr:row>0</xdr:row>
      <xdr:rowOff>180000</xdr:rowOff>
    </xdr:to>
    <xdr:sp macro="[0]!HOrodater_creation" textlink="">
      <xdr:nvSpPr>
        <xdr:cNvPr id="2" name="Plaque 1">
          <a:extLst>
            <a:ext uri="{FF2B5EF4-FFF2-40B4-BE49-F238E27FC236}">
              <a16:creationId xmlns:a16="http://schemas.microsoft.com/office/drawing/2014/main" id="{09F6AEA6-8B1C-4244-98B9-E02BD6ED17CF}"/>
            </a:ext>
          </a:extLst>
        </xdr:cNvPr>
        <xdr:cNvSpPr/>
      </xdr:nvSpPr>
      <xdr:spPr>
        <a:xfrm>
          <a:off x="6934200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14</xdr:col>
      <xdr:colOff>1361</xdr:colOff>
      <xdr:row>1</xdr:row>
      <xdr:rowOff>152399</xdr:rowOff>
    </xdr:from>
    <xdr:to>
      <xdr:col>16</xdr:col>
      <xdr:colOff>54557</xdr:colOff>
      <xdr:row>2</xdr:row>
      <xdr:rowOff>141899</xdr:rowOff>
    </xdr:to>
    <xdr:sp macro="[0]!HOrodater_modif" textlink="">
      <xdr:nvSpPr>
        <xdr:cNvPr id="3" name="Plaque 2">
          <a:extLst>
            <a:ext uri="{FF2B5EF4-FFF2-40B4-BE49-F238E27FC236}">
              <a16:creationId xmlns:a16="http://schemas.microsoft.com/office/drawing/2014/main" id="{ACB6B62F-877E-4DE8-BB2F-0F3D47106B65}"/>
            </a:ext>
          </a:extLst>
        </xdr:cNvPr>
        <xdr:cNvSpPr/>
      </xdr:nvSpPr>
      <xdr:spPr>
        <a:xfrm>
          <a:off x="6935561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16</xdr:col>
      <xdr:colOff>53196</xdr:colOff>
      <xdr:row>0</xdr:row>
      <xdr:rowOff>180000</xdr:rowOff>
    </xdr:to>
    <xdr:sp macro="[0]!HOrodater_creation" textlink="">
      <xdr:nvSpPr>
        <xdr:cNvPr id="2" name="Plaque 1">
          <a:extLst>
            <a:ext uri="{FF2B5EF4-FFF2-40B4-BE49-F238E27FC236}">
              <a16:creationId xmlns:a16="http://schemas.microsoft.com/office/drawing/2014/main" id="{47462D43-3E9A-4B55-AAE7-973F42A9C9F3}"/>
            </a:ext>
          </a:extLst>
        </xdr:cNvPr>
        <xdr:cNvSpPr/>
      </xdr:nvSpPr>
      <xdr:spPr>
        <a:xfrm>
          <a:off x="11566071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14</xdr:col>
      <xdr:colOff>1361</xdr:colOff>
      <xdr:row>1</xdr:row>
      <xdr:rowOff>152399</xdr:rowOff>
    </xdr:from>
    <xdr:to>
      <xdr:col>16</xdr:col>
      <xdr:colOff>54557</xdr:colOff>
      <xdr:row>2</xdr:row>
      <xdr:rowOff>141899</xdr:rowOff>
    </xdr:to>
    <xdr:sp macro="[0]!HOrodater_modif" textlink="">
      <xdr:nvSpPr>
        <xdr:cNvPr id="3" name="Plaque 2">
          <a:extLst>
            <a:ext uri="{FF2B5EF4-FFF2-40B4-BE49-F238E27FC236}">
              <a16:creationId xmlns:a16="http://schemas.microsoft.com/office/drawing/2014/main" id="{34E553EC-D331-4F18-ACE1-D4F56CB58FC7}"/>
            </a:ext>
          </a:extLst>
        </xdr:cNvPr>
        <xdr:cNvSpPr/>
      </xdr:nvSpPr>
      <xdr:spPr>
        <a:xfrm>
          <a:off x="11567432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3A602-10D7-40EA-BE6D-52774BC2996A}">
  <sheetPr codeName="Feuil1"/>
  <dimension ref="A1:D17"/>
  <sheetViews>
    <sheetView showGridLines="0" workbookViewId="0">
      <selection activeCell="D1" sqref="D1:H1048576"/>
    </sheetView>
  </sheetViews>
  <sheetFormatPr baseColWidth="10" defaultColWidth="9.23046875" defaultRowHeight="14.6" x14ac:dyDescent="0.4"/>
  <cols>
    <col min="1" max="1" width="11.921875" bestFit="1" customWidth="1"/>
    <col min="2" max="2" width="31.61328125" bestFit="1" customWidth="1"/>
    <col min="3" max="3" width="14.765625" bestFit="1" customWidth="1"/>
    <col min="4" max="8" width="4.61328125" customWidth="1"/>
  </cols>
  <sheetData>
    <row r="1" spans="1:4" x14ac:dyDescent="0.4">
      <c r="D1" s="6" t="s">
        <v>95</v>
      </c>
    </row>
    <row r="2" spans="1:4" x14ac:dyDescent="0.4">
      <c r="D2" s="6" t="s">
        <v>96</v>
      </c>
    </row>
    <row r="3" spans="1:4" x14ac:dyDescent="0.4">
      <c r="D3" s="7" t="str" cm="1">
        <f t="array" aca="1" ref="D3" ca="1">chemin()</f>
        <v>C:\mes_dossiers_synchronises\gestion_budget_colocs_v1\documentation</v>
      </c>
    </row>
    <row r="6" spans="1:4" x14ac:dyDescent="0.4">
      <c r="A6" t="s">
        <v>58</v>
      </c>
      <c r="B6" t="s">
        <v>57</v>
      </c>
      <c r="C6" t="s">
        <v>56</v>
      </c>
    </row>
    <row r="7" spans="1:4" x14ac:dyDescent="0.4">
      <c r="A7" s="4" t="s">
        <v>55</v>
      </c>
      <c r="B7" s="4" t="s">
        <v>54</v>
      </c>
      <c r="C7" s="4" t="s">
        <v>49</v>
      </c>
    </row>
    <row r="8" spans="1:4" x14ac:dyDescent="0.4">
      <c r="A8" s="4" t="s">
        <v>53</v>
      </c>
      <c r="B8" s="4" t="s">
        <v>52</v>
      </c>
      <c r="C8" s="4" t="s">
        <v>49</v>
      </c>
    </row>
    <row r="9" spans="1:4" x14ac:dyDescent="0.4">
      <c r="A9" s="4" t="s">
        <v>51</v>
      </c>
      <c r="B9" s="4" t="s">
        <v>50</v>
      </c>
      <c r="C9" s="4" t="s">
        <v>49</v>
      </c>
    </row>
    <row r="10" spans="1:4" x14ac:dyDescent="0.4">
      <c r="A10" s="3" t="s">
        <v>6</v>
      </c>
      <c r="B10" s="3" t="s">
        <v>48</v>
      </c>
      <c r="C10" s="3" t="s">
        <v>46</v>
      </c>
    </row>
    <row r="11" spans="1:4" x14ac:dyDescent="0.4">
      <c r="A11" s="3" t="s">
        <v>18</v>
      </c>
      <c r="B11" s="3" t="s">
        <v>47</v>
      </c>
      <c r="C11" s="3" t="s">
        <v>46</v>
      </c>
    </row>
    <row r="12" spans="1:4" x14ac:dyDescent="0.4">
      <c r="A12" s="2" t="s">
        <v>45</v>
      </c>
      <c r="B12" s="2" t="s">
        <v>44</v>
      </c>
      <c r="C12" s="2" t="s">
        <v>35</v>
      </c>
    </row>
    <row r="13" spans="1:4" x14ac:dyDescent="0.4">
      <c r="A13" s="2" t="s">
        <v>43</v>
      </c>
      <c r="B13" s="2" t="s">
        <v>42</v>
      </c>
      <c r="C13" s="2" t="s">
        <v>35</v>
      </c>
    </row>
    <row r="14" spans="1:4" x14ac:dyDescent="0.4">
      <c r="A14" s="2" t="s">
        <v>41</v>
      </c>
      <c r="B14" s="2" t="s">
        <v>40</v>
      </c>
      <c r="C14" s="2" t="s">
        <v>35</v>
      </c>
    </row>
    <row r="15" spans="1:4" x14ac:dyDescent="0.4">
      <c r="A15" s="2" t="s">
        <v>39</v>
      </c>
      <c r="B15" s="2" t="s">
        <v>38</v>
      </c>
      <c r="C15" s="2" t="s">
        <v>35</v>
      </c>
    </row>
    <row r="16" spans="1:4" x14ac:dyDescent="0.4">
      <c r="A16" s="2" t="s">
        <v>37</v>
      </c>
      <c r="B16" s="2" t="s">
        <v>36</v>
      </c>
      <c r="C16" s="2" t="s">
        <v>35</v>
      </c>
    </row>
    <row r="17" spans="1:3" x14ac:dyDescent="0.4">
      <c r="A17" s="1" t="s">
        <v>34</v>
      </c>
      <c r="B17" s="1" t="s">
        <v>33</v>
      </c>
      <c r="C17" s="1" t="s">
        <v>32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E15"/>
  <sheetViews>
    <sheetView showGridLines="0" workbookViewId="0">
      <selection activeCell="E1" sqref="E1:F1048576"/>
    </sheetView>
  </sheetViews>
  <sheetFormatPr baseColWidth="10" defaultColWidth="9.23046875" defaultRowHeight="14.6" x14ac:dyDescent="0.4"/>
  <cols>
    <col min="1" max="1" width="28.4609375" bestFit="1" customWidth="1"/>
    <col min="2" max="2" width="18.765625" bestFit="1" customWidth="1"/>
    <col min="3" max="3" width="22.53515625" bestFit="1" customWidth="1"/>
    <col min="4" max="4" width="37.3828125" bestFit="1" customWidth="1"/>
    <col min="6" max="6" width="2.69140625" customWidth="1"/>
  </cols>
  <sheetData>
    <row r="1" spans="1:5" x14ac:dyDescent="0.4">
      <c r="E1" s="6" t="s">
        <v>97</v>
      </c>
    </row>
    <row r="2" spans="1:5" x14ac:dyDescent="0.4">
      <c r="E2" s="6" t="s">
        <v>98</v>
      </c>
    </row>
    <row r="3" spans="1:5" x14ac:dyDescent="0.4">
      <c r="E3" s="7" t="str" cm="1">
        <f t="array" aca="1" ref="E3" ca="1">chemin()</f>
        <v>C:\mes_dossiers_synchronises\gestion_budget_colocs_v1\documentation</v>
      </c>
    </row>
    <row r="6" spans="1:5" x14ac:dyDescent="0.4">
      <c r="A6" t="s">
        <v>0</v>
      </c>
      <c r="B6" t="s">
        <v>1</v>
      </c>
      <c r="C6" t="s">
        <v>2</v>
      </c>
      <c r="D6" t="s">
        <v>3</v>
      </c>
    </row>
    <row r="7" spans="1:5" x14ac:dyDescent="0.4">
      <c r="A7" t="s">
        <v>4</v>
      </c>
      <c r="B7" t="s">
        <v>5</v>
      </c>
      <c r="C7" t="s">
        <v>6</v>
      </c>
      <c r="D7" t="s">
        <v>7</v>
      </c>
    </row>
    <row r="8" spans="1:5" x14ac:dyDescent="0.4">
      <c r="A8" t="s">
        <v>8</v>
      </c>
      <c r="B8" t="s">
        <v>6</v>
      </c>
      <c r="C8" t="s">
        <v>9</v>
      </c>
      <c r="D8" t="s">
        <v>10</v>
      </c>
    </row>
    <row r="9" spans="1:5" x14ac:dyDescent="0.4">
      <c r="A9" t="s">
        <v>11</v>
      </c>
      <c r="B9" t="s">
        <v>12</v>
      </c>
      <c r="C9" t="s">
        <v>6</v>
      </c>
      <c r="D9" t="s">
        <v>13</v>
      </c>
    </row>
    <row r="10" spans="1:5" x14ac:dyDescent="0.4">
      <c r="A10" t="s">
        <v>14</v>
      </c>
      <c r="B10" t="s">
        <v>15</v>
      </c>
      <c r="C10" t="s">
        <v>9</v>
      </c>
      <c r="D10" t="s">
        <v>16</v>
      </c>
    </row>
    <row r="11" spans="1:5" x14ac:dyDescent="0.4">
      <c r="A11" t="s">
        <v>17</v>
      </c>
      <c r="B11" t="s">
        <v>18</v>
      </c>
      <c r="C11" t="s">
        <v>9</v>
      </c>
      <c r="D11" t="s">
        <v>19</v>
      </c>
    </row>
    <row r="12" spans="1:5" x14ac:dyDescent="0.4">
      <c r="A12" t="s">
        <v>20</v>
      </c>
      <c r="B12" t="s">
        <v>9</v>
      </c>
      <c r="C12" t="s">
        <v>18</v>
      </c>
      <c r="D12" t="s">
        <v>21</v>
      </c>
    </row>
    <row r="13" spans="1:5" x14ac:dyDescent="0.4">
      <c r="A13" t="s">
        <v>22</v>
      </c>
      <c r="B13" t="s">
        <v>23</v>
      </c>
      <c r="C13" t="s">
        <v>6</v>
      </c>
      <c r="D13" t="s">
        <v>24</v>
      </c>
    </row>
    <row r="14" spans="1:5" x14ac:dyDescent="0.4">
      <c r="A14" t="s">
        <v>25</v>
      </c>
      <c r="B14" t="s">
        <v>26</v>
      </c>
      <c r="C14" t="s">
        <v>27</v>
      </c>
      <c r="D14" t="s">
        <v>28</v>
      </c>
    </row>
    <row r="15" spans="1:5" x14ac:dyDescent="0.4">
      <c r="A15" t="s">
        <v>29</v>
      </c>
      <c r="B15" t="s">
        <v>9</v>
      </c>
      <c r="C15" t="s">
        <v>30</v>
      </c>
      <c r="D15" t="s">
        <v>31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7355F-0753-4115-AC8F-00E9A499E98E}">
  <sheetPr codeName="Feuil3"/>
  <dimension ref="A1:D12"/>
  <sheetViews>
    <sheetView showGridLines="0" workbookViewId="0">
      <selection activeCell="B9" sqref="B9"/>
    </sheetView>
  </sheetViews>
  <sheetFormatPr baseColWidth="10" defaultRowHeight="14.6" x14ac:dyDescent="0.4"/>
  <cols>
    <col min="1" max="1" width="3.07421875" customWidth="1"/>
    <col min="2" max="2" width="17.84375" customWidth="1"/>
    <col min="3" max="3" width="63.3046875" customWidth="1"/>
    <col min="5" max="5" width="2.69140625" customWidth="1"/>
  </cols>
  <sheetData>
    <row r="1" spans="1:4" x14ac:dyDescent="0.4">
      <c r="A1" t="s">
        <v>101</v>
      </c>
      <c r="D1" s="6" t="s">
        <v>97</v>
      </c>
    </row>
    <row r="2" spans="1:4" x14ac:dyDescent="0.4">
      <c r="D2" s="6" t="s">
        <v>98</v>
      </c>
    </row>
    <row r="3" spans="1:4" x14ac:dyDescent="0.4">
      <c r="D3" s="7" t="str" cm="1">
        <f t="array" aca="1" ref="D3" ca="1">chemin()</f>
        <v>C:\mes_dossiers_synchronises\gestion_budget_colocs_v1\documentation</v>
      </c>
    </row>
    <row r="6" spans="1:4" x14ac:dyDescent="0.4">
      <c r="B6" t="s">
        <v>59</v>
      </c>
      <c r="C6" s="8" t="s">
        <v>104</v>
      </c>
    </row>
    <row r="7" spans="1:4" x14ac:dyDescent="0.4">
      <c r="B7" t="s">
        <v>60</v>
      </c>
      <c r="C7" s="8" t="s">
        <v>105</v>
      </c>
    </row>
    <row r="9" spans="1:4" x14ac:dyDescent="0.4">
      <c r="B9" t="s">
        <v>106</v>
      </c>
    </row>
    <row r="11" spans="1:4" x14ac:dyDescent="0.4">
      <c r="B11" t="s">
        <v>102</v>
      </c>
    </row>
    <row r="12" spans="1:4" x14ac:dyDescent="0.4">
      <c r="B12" t="s">
        <v>103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6C2FC-0D32-498F-B500-BFD1F5A37252}">
  <sheetPr codeName="Feuil4"/>
  <dimension ref="A1:D39"/>
  <sheetViews>
    <sheetView showGridLines="0" workbookViewId="0">
      <selection activeCell="D1" sqref="D1:D2"/>
    </sheetView>
  </sheetViews>
  <sheetFormatPr baseColWidth="10" defaultRowHeight="14.6" x14ac:dyDescent="0.4"/>
  <cols>
    <col min="1" max="1" width="3.69140625" customWidth="1"/>
    <col min="2" max="2" width="2.921875" style="5" customWidth="1"/>
    <col min="3" max="3" width="80.69140625" customWidth="1"/>
    <col min="5" max="5" width="2.61328125" customWidth="1"/>
  </cols>
  <sheetData>
    <row r="1" spans="1:4" x14ac:dyDescent="0.4">
      <c r="A1" t="s">
        <v>94</v>
      </c>
      <c r="D1" s="6" t="s">
        <v>99</v>
      </c>
    </row>
    <row r="2" spans="1:4" x14ac:dyDescent="0.4">
      <c r="D2" s="6" t="s">
        <v>100</v>
      </c>
    </row>
    <row r="3" spans="1:4" x14ac:dyDescent="0.4">
      <c r="D3" s="7" t="str" cm="1">
        <f t="array" aca="1" ref="D3" ca="1">[0]!Module1.CHemin()</f>
        <v>C:\mes_dossiers_synchronises\gestion_budget_colocs_v1\documentation</v>
      </c>
    </row>
    <row r="7" spans="1:4" x14ac:dyDescent="0.4">
      <c r="B7" s="5" t="s">
        <v>61</v>
      </c>
    </row>
    <row r="8" spans="1:4" x14ac:dyDescent="0.4">
      <c r="C8" t="s">
        <v>62</v>
      </c>
    </row>
    <row r="9" spans="1:4" x14ac:dyDescent="0.4">
      <c r="C9" t="s">
        <v>63</v>
      </c>
    </row>
    <row r="10" spans="1:4" x14ac:dyDescent="0.4">
      <c r="C10" t="s">
        <v>64</v>
      </c>
    </row>
    <row r="11" spans="1:4" x14ac:dyDescent="0.4">
      <c r="C11" t="s">
        <v>65</v>
      </c>
    </row>
    <row r="12" spans="1:4" x14ac:dyDescent="0.4">
      <c r="B12" s="5" t="s">
        <v>66</v>
      </c>
    </row>
    <row r="13" spans="1:4" x14ac:dyDescent="0.4">
      <c r="C13" t="s">
        <v>67</v>
      </c>
    </row>
    <row r="14" spans="1:4" x14ac:dyDescent="0.4">
      <c r="C14" t="s">
        <v>68</v>
      </c>
    </row>
    <row r="15" spans="1:4" x14ac:dyDescent="0.4">
      <c r="C15" t="s">
        <v>69</v>
      </c>
    </row>
    <row r="16" spans="1:4" x14ac:dyDescent="0.4">
      <c r="B16" s="5" t="s">
        <v>70</v>
      </c>
    </row>
    <row r="17" spans="2:3" x14ac:dyDescent="0.4">
      <c r="C17" t="s">
        <v>71</v>
      </c>
    </row>
    <row r="18" spans="2:3" x14ac:dyDescent="0.4">
      <c r="C18" t="s">
        <v>72</v>
      </c>
    </row>
    <row r="19" spans="2:3" x14ac:dyDescent="0.4">
      <c r="B19" s="5" t="s">
        <v>73</v>
      </c>
    </row>
    <row r="20" spans="2:3" x14ac:dyDescent="0.4">
      <c r="C20" t="s">
        <v>74</v>
      </c>
    </row>
    <row r="21" spans="2:3" x14ac:dyDescent="0.4">
      <c r="C21" t="s">
        <v>75</v>
      </c>
    </row>
    <row r="22" spans="2:3" x14ac:dyDescent="0.4">
      <c r="B22" s="5" t="s">
        <v>76</v>
      </c>
    </row>
    <row r="23" spans="2:3" x14ac:dyDescent="0.4">
      <c r="C23" t="s">
        <v>77</v>
      </c>
    </row>
    <row r="24" spans="2:3" x14ac:dyDescent="0.4">
      <c r="C24" t="s">
        <v>78</v>
      </c>
    </row>
    <row r="25" spans="2:3" x14ac:dyDescent="0.4">
      <c r="C25" t="s">
        <v>79</v>
      </c>
    </row>
    <row r="26" spans="2:3" x14ac:dyDescent="0.4">
      <c r="C26" t="s">
        <v>80</v>
      </c>
    </row>
    <row r="27" spans="2:3" x14ac:dyDescent="0.4">
      <c r="B27" s="5" t="s">
        <v>81</v>
      </c>
    </row>
    <row r="28" spans="2:3" x14ac:dyDescent="0.4">
      <c r="C28" t="s">
        <v>82</v>
      </c>
    </row>
    <row r="29" spans="2:3" x14ac:dyDescent="0.4">
      <c r="C29" t="s">
        <v>83</v>
      </c>
    </row>
    <row r="30" spans="2:3" x14ac:dyDescent="0.4">
      <c r="B30" s="5" t="s">
        <v>84</v>
      </c>
    </row>
    <row r="31" spans="2:3" x14ac:dyDescent="0.4">
      <c r="C31" t="s">
        <v>85</v>
      </c>
    </row>
    <row r="32" spans="2:3" x14ac:dyDescent="0.4">
      <c r="C32" t="s">
        <v>86</v>
      </c>
    </row>
    <row r="33" spans="2:3" x14ac:dyDescent="0.4">
      <c r="C33" t="s">
        <v>87</v>
      </c>
    </row>
    <row r="34" spans="2:3" x14ac:dyDescent="0.4">
      <c r="B34" s="5" t="s">
        <v>88</v>
      </c>
    </row>
    <row r="35" spans="2:3" x14ac:dyDescent="0.4">
      <c r="C35" t="s">
        <v>89</v>
      </c>
    </row>
    <row r="36" spans="2:3" x14ac:dyDescent="0.4">
      <c r="C36" t="s">
        <v>90</v>
      </c>
    </row>
    <row r="37" spans="2:3" x14ac:dyDescent="0.4">
      <c r="C37" t="s">
        <v>91</v>
      </c>
    </row>
    <row r="38" spans="2:3" x14ac:dyDescent="0.4">
      <c r="C38" t="s">
        <v>92</v>
      </c>
    </row>
    <row r="39" spans="2:3" x14ac:dyDescent="0.4">
      <c r="C39" t="s">
        <v>93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23959-C221-4B90-8E9B-4D3BD02D35CB}">
  <sheetPr codeName="Feuil5"/>
  <dimension ref="A1:M41"/>
  <sheetViews>
    <sheetView showGridLines="0" workbookViewId="0">
      <selection activeCell="H10" sqref="H10"/>
    </sheetView>
  </sheetViews>
  <sheetFormatPr baseColWidth="10" defaultRowHeight="14.6" x14ac:dyDescent="0.4"/>
  <cols>
    <col min="1" max="1" width="3.07421875" style="12" customWidth="1"/>
    <col min="2" max="2" width="4.53515625" style="13" customWidth="1"/>
    <col min="3" max="3" width="21.15234375" style="12" customWidth="1"/>
    <col min="4" max="4" width="43.921875" style="12" customWidth="1"/>
    <col min="5" max="5" width="19" style="12" customWidth="1"/>
    <col min="6" max="6" width="1.921875" style="14" customWidth="1"/>
    <col min="7" max="9" width="5.15234375" style="12" customWidth="1"/>
    <col min="10" max="12" width="13.53515625" style="12" customWidth="1"/>
    <col min="13" max="13" width="11.07421875" style="12"/>
    <col min="14" max="14" width="2.69140625" style="12" customWidth="1"/>
    <col min="15" max="16384" width="11.07421875" style="12"/>
  </cols>
  <sheetData>
    <row r="1" spans="1:13" x14ac:dyDescent="0.4">
      <c r="A1" s="12" t="s">
        <v>109</v>
      </c>
      <c r="M1" s="6" t="s">
        <v>107</v>
      </c>
    </row>
    <row r="2" spans="1:13" x14ac:dyDescent="0.4">
      <c r="M2" s="6" t="s">
        <v>108</v>
      </c>
    </row>
    <row r="3" spans="1:13" x14ac:dyDescent="0.4">
      <c r="M3" s="15" t="str" cm="1">
        <f t="array" aca="1" ref="M3" ca="1">chemin()</f>
        <v>C:\mes_dossiers_synchronises\gestion_budget_colocs_v1\documentation</v>
      </c>
    </row>
    <row r="4" spans="1:13" x14ac:dyDescent="0.4">
      <c r="E4" s="13" t="s">
        <v>140</v>
      </c>
    </row>
    <row r="5" spans="1:13" ht="18" x14ac:dyDescent="0.4">
      <c r="B5" s="11" t="s">
        <v>146</v>
      </c>
      <c r="E5" s="12" t="s">
        <v>141</v>
      </c>
    </row>
    <row r="6" spans="1:13" x14ac:dyDescent="0.4">
      <c r="B6" s="12" t="s">
        <v>116</v>
      </c>
      <c r="D6" s="16" t="s">
        <v>114</v>
      </c>
      <c r="E6" s="16"/>
      <c r="G6" s="16"/>
      <c r="H6" s="16"/>
      <c r="I6" s="16"/>
      <c r="J6" s="16"/>
      <c r="K6" s="16"/>
      <c r="L6" s="16"/>
    </row>
    <row r="7" spans="1:13" x14ac:dyDescent="0.4">
      <c r="B7" s="12" t="s">
        <v>117</v>
      </c>
      <c r="K7" s="17"/>
    </row>
    <row r="8" spans="1:13" x14ac:dyDescent="0.4">
      <c r="B8" s="12" t="s">
        <v>118</v>
      </c>
      <c r="K8" s="17"/>
    </row>
    <row r="9" spans="1:13" x14ac:dyDescent="0.4">
      <c r="K9" s="17"/>
    </row>
    <row r="10" spans="1:13" ht="18" x14ac:dyDescent="0.4">
      <c r="B10" s="11" t="s">
        <v>110</v>
      </c>
      <c r="C10" s="9"/>
      <c r="E10" s="12" t="s">
        <v>142</v>
      </c>
    </row>
    <row r="11" spans="1:13" x14ac:dyDescent="0.4">
      <c r="B11" s="19" t="s">
        <v>119</v>
      </c>
      <c r="D11" s="16" t="s">
        <v>111</v>
      </c>
      <c r="E11" s="16"/>
      <c r="G11" s="18"/>
      <c r="H11" s="18"/>
      <c r="I11" s="18"/>
      <c r="J11" s="16"/>
      <c r="K11" s="16"/>
      <c r="L11" s="16"/>
    </row>
    <row r="12" spans="1:13" x14ac:dyDescent="0.4">
      <c r="B12" s="19" t="s">
        <v>120</v>
      </c>
      <c r="D12" s="16" t="s">
        <v>112</v>
      </c>
      <c r="E12" s="16"/>
      <c r="G12" s="18"/>
      <c r="H12" s="18"/>
      <c r="I12" s="18"/>
      <c r="J12" s="16"/>
      <c r="K12" s="16"/>
      <c r="L12" s="16"/>
    </row>
    <row r="13" spans="1:13" x14ac:dyDescent="0.4">
      <c r="B13" s="19" t="s">
        <v>121</v>
      </c>
      <c r="D13" s="16" t="s">
        <v>113</v>
      </c>
      <c r="E13" s="16"/>
      <c r="G13" s="18"/>
      <c r="H13" s="18"/>
      <c r="I13" s="18"/>
      <c r="J13" s="16"/>
      <c r="K13" s="16"/>
      <c r="L13" s="16"/>
    </row>
    <row r="14" spans="1:13" x14ac:dyDescent="0.4">
      <c r="B14" s="19" t="s">
        <v>122</v>
      </c>
      <c r="D14" s="16"/>
      <c r="E14" s="16"/>
      <c r="G14" s="18"/>
      <c r="H14" s="18"/>
      <c r="I14" s="18"/>
      <c r="J14" s="16"/>
      <c r="K14" s="16"/>
      <c r="L14" s="16"/>
    </row>
    <row r="15" spans="1:13" x14ac:dyDescent="0.4">
      <c r="B15" s="10"/>
      <c r="G15" s="18"/>
      <c r="H15" s="18"/>
      <c r="I15" s="18"/>
    </row>
    <row r="16" spans="1:13" ht="18" x14ac:dyDescent="0.4">
      <c r="B16" s="11" t="s">
        <v>144</v>
      </c>
      <c r="E16" s="12" t="s">
        <v>141</v>
      </c>
    </row>
    <row r="17" spans="2:12" x14ac:dyDescent="0.4">
      <c r="B17" s="19" t="s">
        <v>123</v>
      </c>
      <c r="D17" s="16" t="s">
        <v>115</v>
      </c>
      <c r="E17" s="16"/>
    </row>
    <row r="18" spans="2:12" x14ac:dyDescent="0.4">
      <c r="B18" s="19" t="s">
        <v>124</v>
      </c>
      <c r="D18" s="16"/>
      <c r="E18" s="16"/>
    </row>
    <row r="19" spans="2:12" x14ac:dyDescent="0.4">
      <c r="G19" s="18"/>
      <c r="H19" s="18"/>
      <c r="I19" s="18"/>
    </row>
    <row r="20" spans="2:12" ht="18" x14ac:dyDescent="0.4">
      <c r="B20" s="11" t="s">
        <v>145</v>
      </c>
      <c r="E20" s="12" t="s">
        <v>143</v>
      </c>
      <c r="G20" s="16"/>
      <c r="H20" s="16"/>
      <c r="I20" s="16"/>
      <c r="J20" s="16"/>
      <c r="K20" s="16"/>
      <c r="L20" s="16"/>
    </row>
    <row r="21" spans="2:12" x14ac:dyDescent="0.4">
      <c r="B21" s="19" t="s">
        <v>125</v>
      </c>
      <c r="D21" s="16" t="s">
        <v>114</v>
      </c>
      <c r="E21" s="16"/>
    </row>
    <row r="22" spans="2:12" x14ac:dyDescent="0.4">
      <c r="B22" s="19" t="s">
        <v>126</v>
      </c>
    </row>
    <row r="23" spans="2:12" x14ac:dyDescent="0.4">
      <c r="B23" s="19" t="s">
        <v>127</v>
      </c>
    </row>
    <row r="24" spans="2:12" x14ac:dyDescent="0.4">
      <c r="B24" s="19" t="s">
        <v>128</v>
      </c>
    </row>
    <row r="25" spans="2:12" x14ac:dyDescent="0.4">
      <c r="B25" s="19" t="s">
        <v>129</v>
      </c>
    </row>
    <row r="26" spans="2:12" x14ac:dyDescent="0.4">
      <c r="B26" s="19" t="s">
        <v>130</v>
      </c>
    </row>
    <row r="27" spans="2:12" x14ac:dyDescent="0.4">
      <c r="B27" s="19" t="s">
        <v>131</v>
      </c>
    </row>
    <row r="28" spans="2:12" x14ac:dyDescent="0.4">
      <c r="B28" s="19" t="s">
        <v>132</v>
      </c>
    </row>
    <row r="29" spans="2:12" x14ac:dyDescent="0.4">
      <c r="B29" s="19" t="s">
        <v>133</v>
      </c>
    </row>
    <row r="30" spans="2:12" x14ac:dyDescent="0.4">
      <c r="B30" s="19" t="s">
        <v>134</v>
      </c>
    </row>
    <row r="31" spans="2:12" x14ac:dyDescent="0.4">
      <c r="B31" s="19" t="s">
        <v>135</v>
      </c>
    </row>
    <row r="32" spans="2:12" x14ac:dyDescent="0.4">
      <c r="B32" s="10"/>
    </row>
    <row r="33" spans="2:3" ht="18" x14ac:dyDescent="0.4">
      <c r="B33" s="11" t="s">
        <v>147</v>
      </c>
    </row>
    <row r="34" spans="2:3" x14ac:dyDescent="0.4">
      <c r="B34" s="19" t="s">
        <v>136</v>
      </c>
      <c r="C34" s="19"/>
    </row>
    <row r="36" spans="2:3" ht="18" x14ac:dyDescent="0.4">
      <c r="B36" s="11" t="s">
        <v>148</v>
      </c>
    </row>
    <row r="37" spans="2:3" x14ac:dyDescent="0.4">
      <c r="B37" s="19" t="s">
        <v>137</v>
      </c>
    </row>
    <row r="38" spans="2:3" x14ac:dyDescent="0.4">
      <c r="B38" s="19" t="s">
        <v>138</v>
      </c>
    </row>
    <row r="39" spans="2:3" x14ac:dyDescent="0.4">
      <c r="B39" s="19"/>
    </row>
    <row r="40" spans="2:3" ht="18" x14ac:dyDescent="0.4">
      <c r="B40" s="11" t="s">
        <v>149</v>
      </c>
    </row>
    <row r="41" spans="2:3" x14ac:dyDescent="0.4">
      <c r="B41" s="19" t="s">
        <v>139</v>
      </c>
    </row>
  </sheetData>
  <phoneticPr fontId="7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641EA-0CD4-4484-BDAB-1A57470E478E}">
  <sheetPr codeName="Feuil6"/>
  <dimension ref="A1:M21"/>
  <sheetViews>
    <sheetView showGridLines="0" tabSelected="1" workbookViewId="0">
      <selection activeCell="M1" sqref="M1:O1048576"/>
    </sheetView>
  </sheetViews>
  <sheetFormatPr baseColWidth="10" defaultRowHeight="14.6" x14ac:dyDescent="0.4"/>
  <cols>
    <col min="1" max="1" width="2.07421875" style="12" customWidth="1"/>
    <col min="2" max="2" width="30.07421875" style="12" customWidth="1"/>
    <col min="3" max="3" width="1.61328125" style="12" customWidth="1"/>
    <col min="4" max="4" width="24.84375" style="12" customWidth="1"/>
    <col min="5" max="5" width="2.3828125" style="12" customWidth="1"/>
    <col min="6" max="6" width="26.23046875" style="12" customWidth="1"/>
    <col min="7" max="7" width="1.3828125" style="12" customWidth="1"/>
    <col min="8" max="8" width="25.69140625" style="12" customWidth="1"/>
    <col min="9" max="9" width="1.765625" style="12" customWidth="1"/>
    <col min="10" max="10" width="26.765625" style="12" customWidth="1"/>
    <col min="11" max="11" width="1.4609375" style="12" customWidth="1"/>
    <col min="12" max="12" width="30.4609375" style="12" customWidth="1"/>
    <col min="13" max="13" width="11.07421875" style="12"/>
    <col min="14" max="14" width="2.69140625" style="12" customWidth="1"/>
    <col min="15" max="16384" width="11.07421875" style="12"/>
  </cols>
  <sheetData>
    <row r="1" spans="1:13" x14ac:dyDescent="0.4">
      <c r="A1" s="12" t="s">
        <v>152</v>
      </c>
      <c r="M1" s="6" t="s">
        <v>150</v>
      </c>
    </row>
    <row r="2" spans="1:13" x14ac:dyDescent="0.4">
      <c r="M2" s="6" t="s">
        <v>151</v>
      </c>
    </row>
    <row r="3" spans="1:13" x14ac:dyDescent="0.4">
      <c r="M3" s="15" t="str" cm="1">
        <f t="array" aca="1" ref="M3" ca="1">chemin()</f>
        <v>C:\mes_dossiers_synchronises\gestion_budget_colocs_v1\documentation</v>
      </c>
    </row>
    <row r="5" spans="1:13" s="20" customFormat="1" ht="10.75" x14ac:dyDescent="0.4">
      <c r="B5" s="20" t="s">
        <v>165</v>
      </c>
      <c r="D5" s="20" t="s">
        <v>168</v>
      </c>
      <c r="F5" s="20" t="s">
        <v>180</v>
      </c>
      <c r="H5" s="20" t="s">
        <v>191</v>
      </c>
      <c r="J5" s="20" t="s">
        <v>200</v>
      </c>
      <c r="L5" s="20" t="s">
        <v>207</v>
      </c>
    </row>
    <row r="6" spans="1:13" s="21" customFormat="1" ht="10.75" x14ac:dyDescent="0.4">
      <c r="B6" s="21" t="s">
        <v>153</v>
      </c>
      <c r="D6" s="21" t="s">
        <v>169</v>
      </c>
      <c r="F6" s="21" t="s">
        <v>181</v>
      </c>
      <c r="H6" s="21" t="s">
        <v>192</v>
      </c>
      <c r="J6" s="21" t="s">
        <v>201</v>
      </c>
      <c r="L6" s="21" t="s">
        <v>208</v>
      </c>
    </row>
    <row r="7" spans="1:13" s="21" customFormat="1" ht="10.75" x14ac:dyDescent="0.4">
      <c r="B7" s="21" t="s">
        <v>154</v>
      </c>
      <c r="D7" s="21" t="s">
        <v>170</v>
      </c>
      <c r="F7" s="21" t="s">
        <v>182</v>
      </c>
      <c r="H7" s="21" t="s">
        <v>193</v>
      </c>
      <c r="J7" s="21" t="s">
        <v>202</v>
      </c>
      <c r="L7" s="21" t="s">
        <v>209</v>
      </c>
    </row>
    <row r="8" spans="1:13" s="22" customFormat="1" ht="10.75" x14ac:dyDescent="0.4">
      <c r="B8" s="22" t="s">
        <v>155</v>
      </c>
      <c r="D8" s="22" t="s">
        <v>155</v>
      </c>
      <c r="F8" s="22" t="s">
        <v>155</v>
      </c>
      <c r="H8" s="22" t="s">
        <v>155</v>
      </c>
      <c r="J8" s="22" t="s">
        <v>155</v>
      </c>
    </row>
    <row r="9" spans="1:13" s="21" customFormat="1" ht="10.75" x14ac:dyDescent="0.4">
      <c r="B9" s="21" t="s">
        <v>156</v>
      </c>
      <c r="D9" s="21" t="s">
        <v>171</v>
      </c>
      <c r="F9" s="21" t="s">
        <v>183</v>
      </c>
      <c r="H9" s="21" t="s">
        <v>194</v>
      </c>
      <c r="J9" s="21" t="s">
        <v>203</v>
      </c>
    </row>
    <row r="10" spans="1:13" s="21" customFormat="1" ht="10.75" x14ac:dyDescent="0.4">
      <c r="B10" s="21" t="s">
        <v>157</v>
      </c>
      <c r="D10" s="21" t="s">
        <v>172</v>
      </c>
      <c r="F10" s="21" t="s">
        <v>184</v>
      </c>
      <c r="H10" s="21" t="s">
        <v>195</v>
      </c>
      <c r="J10" s="21" t="s">
        <v>204</v>
      </c>
    </row>
    <row r="11" spans="1:13" s="21" customFormat="1" ht="10.75" x14ac:dyDescent="0.4">
      <c r="B11" s="21" t="s">
        <v>158</v>
      </c>
      <c r="D11" s="21" t="s">
        <v>173</v>
      </c>
      <c r="F11" s="21" t="s">
        <v>185</v>
      </c>
      <c r="J11" s="21" t="s">
        <v>205</v>
      </c>
    </row>
    <row r="12" spans="1:13" s="21" customFormat="1" ht="10.75" x14ac:dyDescent="0.4">
      <c r="B12" s="21" t="s">
        <v>159</v>
      </c>
    </row>
    <row r="13" spans="1:13" s="21" customFormat="1" ht="10.75" x14ac:dyDescent="0.4"/>
    <row r="14" spans="1:13" s="22" customFormat="1" ht="10.75" x14ac:dyDescent="0.4">
      <c r="B14" s="22" t="s">
        <v>160</v>
      </c>
      <c r="D14" s="22" t="s">
        <v>160</v>
      </c>
      <c r="F14" s="22" t="s">
        <v>160</v>
      </c>
      <c r="H14" s="22" t="s">
        <v>160</v>
      </c>
      <c r="L14" s="22" t="s">
        <v>160</v>
      </c>
    </row>
    <row r="15" spans="1:13" s="21" customFormat="1" ht="10.75" x14ac:dyDescent="0.4">
      <c r="B15" s="21" t="s">
        <v>161</v>
      </c>
      <c r="D15" s="21" t="s">
        <v>174</v>
      </c>
      <c r="F15" s="21" t="s">
        <v>186</v>
      </c>
      <c r="H15" s="21" t="s">
        <v>196</v>
      </c>
      <c r="L15" s="21" t="s">
        <v>210</v>
      </c>
    </row>
    <row r="16" spans="1:13" s="21" customFormat="1" ht="10.75" x14ac:dyDescent="0.4">
      <c r="B16" s="21" t="s">
        <v>162</v>
      </c>
      <c r="D16" s="21" t="s">
        <v>175</v>
      </c>
      <c r="F16" s="21" t="s">
        <v>187</v>
      </c>
      <c r="H16" s="21" t="s">
        <v>197</v>
      </c>
      <c r="L16" s="21" t="s">
        <v>211</v>
      </c>
    </row>
    <row r="17" spans="2:12" s="21" customFormat="1" ht="10.75" x14ac:dyDescent="0.4">
      <c r="B17" s="21" t="s">
        <v>163</v>
      </c>
      <c r="D17" s="21" t="s">
        <v>176</v>
      </c>
      <c r="F17" s="21" t="s">
        <v>188</v>
      </c>
      <c r="H17" s="21" t="s">
        <v>198</v>
      </c>
      <c r="L17" s="21" t="s">
        <v>212</v>
      </c>
    </row>
    <row r="18" spans="2:12" s="21" customFormat="1" ht="10.75" x14ac:dyDescent="0.4">
      <c r="B18" s="21" t="s">
        <v>164</v>
      </c>
      <c r="D18" s="21" t="s">
        <v>177</v>
      </c>
    </row>
    <row r="19" spans="2:12" s="21" customFormat="1" ht="10.75" x14ac:dyDescent="0.4"/>
    <row r="20" spans="2:12" s="22" customFormat="1" ht="10.75" x14ac:dyDescent="0.4">
      <c r="B20" s="22" t="s">
        <v>167</v>
      </c>
      <c r="D20" s="22" t="s">
        <v>178</v>
      </c>
      <c r="F20" s="22" t="s">
        <v>189</v>
      </c>
      <c r="H20" s="22" t="s">
        <v>189</v>
      </c>
      <c r="J20" s="22" t="s">
        <v>189</v>
      </c>
      <c r="L20" s="22" t="s">
        <v>189</v>
      </c>
    </row>
    <row r="21" spans="2:12" s="21" customFormat="1" ht="10.75" x14ac:dyDescent="0.4">
      <c r="B21" s="21" t="s">
        <v>166</v>
      </c>
      <c r="D21" s="21" t="s">
        <v>179</v>
      </c>
      <c r="F21" s="21" t="s">
        <v>190</v>
      </c>
      <c r="H21" s="21" t="s">
        <v>199</v>
      </c>
      <c r="J21" s="21" t="s">
        <v>206</v>
      </c>
      <c r="L21" s="21" t="s">
        <v>213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Plan comptable</vt:lpstr>
      <vt:lpstr>Cas pratiques</vt:lpstr>
      <vt:lpstr>Memo</vt:lpstr>
      <vt:lpstr>Types de comptes</vt:lpstr>
      <vt:lpstr>Simulation</vt:lpstr>
      <vt:lpstr>Vocabulaire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Yvon PLANCADE</cp:lastModifiedBy>
  <dcterms:created xsi:type="dcterms:W3CDTF">2025-12-06T04:08:59Z</dcterms:created>
  <dcterms:modified xsi:type="dcterms:W3CDTF">2026-01-01T10:45:43Z</dcterms:modified>
</cp:coreProperties>
</file>