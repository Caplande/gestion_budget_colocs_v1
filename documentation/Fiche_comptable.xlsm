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mes_dossiers_synchronises\gestion_budget_colocs_v1\documentation\"/>
    </mc:Choice>
  </mc:AlternateContent>
  <xr:revisionPtr revIDLastSave="0" documentId="13_ncr:1_{4040C917-EEAC-48A5-B586-5A193C65CADE}" xr6:coauthVersionLast="47" xr6:coauthVersionMax="47" xr10:uidLastSave="{00000000-0000-0000-0000-000000000000}"/>
  <bookViews>
    <workbookView xWindow="-103" yWindow="-103" windowWidth="33120" windowHeight="18000" activeTab="6" xr2:uid="{00000000-000D-0000-FFFF-FFFF00000000}"/>
  </bookViews>
  <sheets>
    <sheet name="Plan comptable" sheetId="2" r:id="rId1"/>
    <sheet name="Cas pratiques" sheetId="1" r:id="rId2"/>
    <sheet name="Memo" sheetId="3" r:id="rId3"/>
    <sheet name="Types de comptes" sheetId="4" r:id="rId4"/>
    <sheet name="Simulation" sheetId="6" r:id="rId5"/>
    <sheet name="Vocabulaire" sheetId="7" r:id="rId6"/>
    <sheet name="Nomenclature comptable" sheetId="8" r:id="rId7"/>
    <sheet name="Feuil3" sheetId="11" r:id="rId8"/>
    <sheet name="Interprétation" sheetId="10" r:id="rId9"/>
  </sheets>
  <functionGroups builtInGroupCount="19"/>
  <definedNames>
    <definedName name="_xlnm.Print_Area" localSheetId="6">'Nomenclature comptable'!$A$1:$H$83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3" i="10" l="1" a="1"/>
  <c r="H3" i="8" a="1"/>
  <c r="D3" i="4" a="1"/>
  <c r="M3" i="7" a="1"/>
  <c r="M3" i="6" a="1"/>
  <c r="D3" i="3" a="1"/>
  <c r="E3" i="1" a="1"/>
  <c r="D3" i="2" a="1"/>
  <c r="D3" i="2" l="1"/>
  <c r="E3" i="1"/>
  <c r="D3" i="3"/>
  <c r="M3" i="6"/>
  <c r="M3" i="7"/>
  <c r="D3" i="4"/>
  <c r="H3" i="8"/>
  <c r="G3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<sst xmlns="http://schemas.openxmlformats.org/spreadsheetml/2006/main" count="422" uniqueCount="364">
  <si>
    <t>Cas pratique</t>
  </si>
  <si>
    <t>Compte Débit</t>
  </si>
  <si>
    <t>Compte Crédit</t>
  </si>
  <si>
    <t>Description</t>
  </si>
  <si>
    <t>Achat alimentation</t>
  </si>
  <si>
    <t>6061 Alimentation</t>
  </si>
  <si>
    <t>410_Membre</t>
  </si>
  <si>
    <t>Un membre avance des courses</t>
  </si>
  <si>
    <t>Remboursement membre</t>
  </si>
  <si>
    <t>512 Banque</t>
  </si>
  <si>
    <t>Remboursement depuis le compte commun</t>
  </si>
  <si>
    <t>Achat gros bien (canapé)</t>
  </si>
  <si>
    <t>2183 Mobilier</t>
  </si>
  <si>
    <t>Avance pour une immobilisation</t>
  </si>
  <si>
    <t>Charge récurrente prélevée</t>
  </si>
  <si>
    <t>6062 Énergie/Charges</t>
  </si>
  <si>
    <t>Prélèvement automatique</t>
  </si>
  <si>
    <t>Achat personnel payé commun</t>
  </si>
  <si>
    <t>467_Membre</t>
  </si>
  <si>
    <t>Dépense perso payée par erreur/choix</t>
  </si>
  <si>
    <t>Remboursement achat personnel</t>
  </si>
  <si>
    <t>Le membre rembourse le compte commun</t>
  </si>
  <si>
    <t>Participation inégale</t>
  </si>
  <si>
    <t>606x Charge</t>
  </si>
  <si>
    <t>Un membre avance une dépense commune</t>
  </si>
  <si>
    <t>Transfert entre membres</t>
  </si>
  <si>
    <t>410_MembreA</t>
  </si>
  <si>
    <t>410_MembreB</t>
  </si>
  <si>
    <t>Remboursement direct entre membres</t>
  </si>
  <si>
    <t>Alimentation compte commun</t>
  </si>
  <si>
    <t>431 Contribution Membre</t>
  </si>
  <si>
    <t>Versement des colocs dans la caisse</t>
  </si>
  <si>
    <t>Capitaux propres</t>
  </si>
  <si>
    <t>Contributions des membres</t>
  </si>
  <si>
    <t>431</t>
  </si>
  <si>
    <t>Charge</t>
  </si>
  <si>
    <t>Loisirs / sorties</t>
  </si>
  <si>
    <t>6065</t>
  </si>
  <si>
    <t>Loyer / charges logement</t>
  </si>
  <si>
    <t>6064</t>
  </si>
  <si>
    <t>Internet / télécom</t>
  </si>
  <si>
    <t>6063</t>
  </si>
  <si>
    <t>Électricité / énergie</t>
  </si>
  <si>
    <t>6062</t>
  </si>
  <si>
    <t>Alimentation</t>
  </si>
  <si>
    <t>6061</t>
  </si>
  <si>
    <t>Passif</t>
  </si>
  <si>
    <t>Achats personnels à rembourser</t>
  </si>
  <si>
    <t>Avances / dettes envers les membres</t>
  </si>
  <si>
    <t>Actif</t>
  </si>
  <si>
    <t>Mobilier (gros achats : canapé…)</t>
  </si>
  <si>
    <t>2183</t>
  </si>
  <si>
    <t>Caisse</t>
  </si>
  <si>
    <t>53</t>
  </si>
  <si>
    <t>Banque - compte commun</t>
  </si>
  <si>
    <t>512</t>
  </si>
  <si>
    <t>Type</t>
  </si>
  <si>
    <t>Libellé</t>
  </si>
  <si>
    <t>N° Compte</t>
  </si>
  <si>
    <t>Débit = ce qui ENTRE</t>
  </si>
  <si>
    <t>Crédit = ce qui SORT</t>
  </si>
  <si>
    <t>1. Comptes d’Actif</t>
  </si>
  <si>
    <t>Les comptes d’actif regroupent tout ce que la colocation « possède ». Leur solde est normalement</t>
  </si>
  <si>
    <t>débiteur.</t>
  </si>
  <si>
    <t>Exemples : Caisse, Banque, Avances colocataires, Immobilisations communes (canapé,</t>
  </si>
  <si>
    <t>électroménager).</t>
  </si>
  <si>
    <t>2. Comptes de Passif</t>
  </si>
  <si>
    <t>Ils représentent ce que la colocation « doit » ou ce qui appartient aux colocataires en parts. Leur</t>
  </si>
  <si>
    <t>solde est normalement créditeur.</t>
  </si>
  <si>
    <t>Exemples : Dettes colocataires, Parts de chacun dans le patrimoine commun.</t>
  </si>
  <si>
    <t>3. Comptes de Charges</t>
  </si>
  <si>
    <t>Les charges représentent les consommations régulières ou ponctuelles : loyer, eau, électricité,</t>
  </si>
  <si>
    <t>internet, courses, réparations. Leur solde est débiteur.</t>
  </si>
  <si>
    <t>4. Comptes de Produits</t>
  </si>
  <si>
    <t>Les produits représentent les apports d’argent : dépôts sur le compte commun, remboursement</t>
  </si>
  <si>
    <t>d’un colocataire, participation d’un invité, etc. Leur solde est créditeur.</t>
  </si>
  <si>
    <t>5. Règle Débit / Crédit (mnémonique simple)</t>
  </si>
  <si>
    <t>• Un compte d’actif augmente au Débit et diminue au Crédit.</t>
  </si>
  <si>
    <t>• Un compte de passif augmente au Crédit et diminue au Débit.</t>
  </si>
  <si>
    <t>• Une charge augmente au Débit (ça coûte).</t>
  </si>
  <si>
    <t>• Un produit augmente au Crédit (ça rapporte).</t>
  </si>
  <si>
    <t>6. Logique pédagogique</t>
  </si>
  <si>
    <t>• Le Débit correspond à ce qui « entre » dans le patrimoine commun ou à un coût.</t>
  </si>
  <si>
    <t>• Le Crédit correspond à ce qui « sort » ou à ce qui finance.</t>
  </si>
  <si>
    <t>7. Exemple concret</t>
  </si>
  <si>
    <t>Achat d’un canapé 600 € payé par Coloc A.</t>
  </si>
  <si>
    <t>• Débit : Immobilisation canapé 600 € (l’actif augmente)</t>
  </si>
  <si>
    <t>• Crédit : Compte Coloc A – Dette/Part 600 € (il a financé l’achat)</t>
  </si>
  <si>
    <t>8. Résumé ultra-simple</t>
  </si>
  <si>
    <t>Actifs = Ce qu’on possède (Débit).</t>
  </si>
  <si>
    <t>Passifs = Ce qu’on doit ou qui finance (Crédit).</t>
  </si>
  <si>
    <t>Charges = Ce qui coûte (Débit).</t>
  </si>
  <si>
    <t>Produits = Ce qui rapporte (Crédit).</t>
  </si>
  <si>
    <t>Commenter</t>
  </si>
  <si>
    <t>Fiche pédagogique : Les types de comptes en comptabilité</t>
  </si>
  <si>
    <t>Créé le: Samedi 6 Décembre 2025 05:31</t>
  </si>
  <si>
    <t>Modifié le: Samedi 6 Décembre 2025 05:31</t>
  </si>
  <si>
    <t>Créé le: Samedi 6 Décembre 2025 05:33</t>
  </si>
  <si>
    <t>Modifié le: Samedi 6 Décembre 2025 05:33</t>
  </si>
  <si>
    <t>Créé le: Samedi 6 Décembre 2025 05:34</t>
  </si>
  <si>
    <t>Modifié le: Samedi 6 Décembre 2025 05:34</t>
  </si>
  <si>
    <t>Mnémonie</t>
  </si>
  <si>
    <t>Un compte créditeur est un compte où le total du crédit est supérieur au total du débit (solde&lt;0)</t>
  </si>
  <si>
    <t>Un compte débiteur est un compte où le total du débit est supérieur au total du crédit (solde&gt;0)</t>
  </si>
  <si>
    <t>---&gt; Colonne de gauche dans les tableaux débit/crédit</t>
  </si>
  <si>
    <t>---&gt; Colonne de droite dans les tableaux débit/crédit</t>
  </si>
  <si>
    <r>
      <rPr>
        <b/>
        <sz val="11"/>
        <color theme="1"/>
        <rFont val="Calibri"/>
        <family val="2"/>
        <scheme val="minor"/>
      </rPr>
      <t>Solde</t>
    </r>
    <r>
      <rPr>
        <sz val="11"/>
        <color theme="1"/>
        <rFont val="Calibri"/>
        <family val="2"/>
        <scheme val="minor"/>
      </rPr>
      <t xml:space="preserve"> =  total débit - total crédit</t>
    </r>
  </si>
  <si>
    <t>Créé le: Dimanche 28 Décembre 2025 15:22</t>
  </si>
  <si>
    <t>Modifié le: Dimanche 28 Décembre 2025 15:22</t>
  </si>
  <si>
    <t>Simulation</t>
  </si>
  <si>
    <t>Comptes de personnes (classe 4 – tiers)</t>
  </si>
  <si>
    <t>Solde :</t>
  </si>
  <si>
    <t>débiteur → le coloc doit de l’argent à la coloc</t>
  </si>
  <si>
    <t>créditeur → la coloc lui doit de l’argent</t>
  </si>
  <si>
    <t>Toujours débités lors d’une dépense.</t>
  </si>
  <si>
    <t>Même si en pratique c’est souvent un coloc qui paie.</t>
  </si>
  <si>
    <t xml:space="preserve">  218 Mobilier</t>
  </si>
  <si>
    <t xml:space="preserve">  2183 Electroménager</t>
  </si>
  <si>
    <t xml:space="preserve">  2184 Mobilier commun</t>
  </si>
  <si>
    <t xml:space="preserve">  455 Comptes courants colocs</t>
  </si>
  <si>
    <t xml:space="preserve">    455001 Yvon</t>
  </si>
  <si>
    <t xml:space="preserve">    455002 Alice</t>
  </si>
  <si>
    <t xml:space="preserve">    455003 Bob</t>
  </si>
  <si>
    <t xml:space="preserve">  512 Banque</t>
  </si>
  <si>
    <t xml:space="preserve">  531 Caisse</t>
  </si>
  <si>
    <t xml:space="preserve">  602 Courses</t>
  </si>
  <si>
    <t xml:space="preserve">  6061 Eau</t>
  </si>
  <si>
    <t xml:space="preserve">  6061E Electricité</t>
  </si>
  <si>
    <t xml:space="preserve">  6061G Gaz</t>
  </si>
  <si>
    <t xml:space="preserve">  6062 Produits ménagers</t>
  </si>
  <si>
    <t xml:space="preserve">  6063 Fournitures entretien</t>
  </si>
  <si>
    <t xml:space="preserve">  613 Loyer</t>
  </si>
  <si>
    <t xml:space="preserve">  615 Entretien réparations</t>
  </si>
  <si>
    <t xml:space="preserve">  616 Assurances</t>
  </si>
  <si>
    <t xml:space="preserve">  626 Internet</t>
  </si>
  <si>
    <t xml:space="preserve">  618 Divers</t>
  </si>
  <si>
    <t xml:space="preserve">  758 Produits divers</t>
  </si>
  <si>
    <t xml:space="preserve">  471 Charges à répartir</t>
  </si>
  <si>
    <t xml:space="preserve">  472 Charges constatées d’avance</t>
  </si>
  <si>
    <t xml:space="preserve">  681 Dotations amortissements</t>
  </si>
  <si>
    <t>Relatif à</t>
  </si>
  <si>
    <t>La colocation</t>
  </si>
  <si>
    <t>Aux colocataires</t>
  </si>
  <si>
    <t>Nature de la dépense</t>
  </si>
  <si>
    <t>Compte de trésorerie (classe 5 - Financiers)</t>
  </si>
  <si>
    <t>Comptes de charges (classe 6 - Charges)</t>
  </si>
  <si>
    <t>Comptes d’investissements (classe 2 - Immobilisations)</t>
  </si>
  <si>
    <t>Comptes de produits (classe 7 - Produits)</t>
  </si>
  <si>
    <t>Comptes transitoires (classe 4)</t>
  </si>
  <si>
    <t>Comptes de dotations (classe 6)</t>
  </si>
  <si>
    <t>Créé le: Jeudi 1 Janvier 2026 11:35</t>
  </si>
  <si>
    <t>Modifié le: Jeudi 1 Janvier 2026 11:35</t>
  </si>
  <si>
    <t>Vocabulaire</t>
  </si>
  <si>
    <t>Mot clé : ÉVÉNEMENT</t>
  </si>
  <si>
    <t>Un fait réel, daté, immuable, saisi par l’utilisateur.</t>
  </si>
  <si>
    <t>Exemples :</t>
  </si>
  <si>
    <t>Courses du 12/03</t>
  </si>
  <si>
    <t>Loyer d’avril</t>
  </si>
  <si>
    <t>Achat d’un frigo</t>
  </si>
  <si>
    <t>Facture EDF</t>
  </si>
  <si>
    <t>📌 Caractéristiques :</t>
  </si>
  <si>
    <t>pas de débit / crédit</t>
  </si>
  <si>
    <t>pas de solde</t>
  </si>
  <si>
    <t>peut exister seul</t>
  </si>
  <si>
    <t>peut être rattaché à un contexte</t>
  </si>
  <si>
    <t>ÉVÉNEMENT MÉTIER</t>
  </si>
  <si>
    <t>evenement</t>
  </si>
  <si>
    <t>Table :</t>
  </si>
  <si>
    <t>OPÉRATION INDIVIDUALISÉE (OI)</t>
  </si>
  <si>
    <t>👉 Mot clé : CONTEXTE / PROJET</t>
  </si>
  <si>
    <t>Un regroupement logique d’événements.</t>
  </si>
  <si>
    <t>Voyage à Rome</t>
  </si>
  <si>
    <t>Travaux cuisine</t>
  </si>
  <si>
    <t>Achat voiture</t>
  </si>
  <si>
    <t>analytique</t>
  </si>
  <si>
    <t>optionnelle</t>
  </si>
  <si>
    <t>peut être clôturée</t>
  </si>
  <si>
    <t>ne modifie jamais les événements</t>
  </si>
  <si>
    <t>📦 Tables :</t>
  </si>
  <si>
    <t>operation_individualisee evenement_oi</t>
  </si>
  <si>
    <t>OPÉRATION COMPTABLE</t>
  </si>
  <si>
    <t>👉 Mot clé : OPÉRATION</t>
  </si>
  <si>
    <t>Une traduction comptable d’un événement.</t>
  </si>
  <si>
    <t>“Charge courses”</t>
  </si>
  <si>
    <t>“Avance Yvon”</t>
  </si>
  <si>
    <t>“Dette Bob”</t>
  </si>
  <si>
    <t>invisible pour l’utilisateur</t>
  </si>
  <si>
    <t>générée automatiquement</t>
  </si>
  <si>
    <t>équilibrée (débit = crédit)</t>
  </si>
  <si>
    <t>📦 Table :</t>
  </si>
  <si>
    <t>operation</t>
  </si>
  <si>
    <t>ÉCRITURE COMPTABLE</t>
  </si>
  <si>
    <t>👉 Mot clé : ÉCRITURE</t>
  </si>
  <si>
    <t>Une ligne débit OU crédit dans un compte.</t>
  </si>
  <si>
    <t>Débit 606 – Courses</t>
  </si>
  <si>
    <t>Crédit 455 – Yvon</t>
  </si>
  <si>
    <t>toujours liée à une opération</t>
  </si>
  <si>
    <t>porte un montant</t>
  </si>
  <si>
    <t>jamais seule</t>
  </si>
  <si>
    <t>ecriture</t>
  </si>
  <si>
    <t>COMPTE</t>
  </si>
  <si>
    <t>👉 Mot clé : COMPTE</t>
  </si>
  <si>
    <t>Un “bac” comptable qui reçoit des montants.</t>
  </si>
  <si>
    <t>606 – Achats</t>
  </si>
  <si>
    <t>455 – Associés</t>
  </si>
  <si>
    <t>512 – Banque</t>
  </si>
  <si>
    <t>compte</t>
  </si>
  <si>
    <t>APUREMENT (TECHNIQUE)</t>
  </si>
  <si>
    <t>👉 Mot clé : LETTRAGE INTERNE</t>
  </si>
  <si>
    <t>Neutralisation automatique des avances et dettes.</t>
  </si>
  <si>
    <t>purement technique</t>
  </si>
  <si>
    <t>jamais visible</t>
  </si>
  <si>
    <t>garantit les soldes justes</t>
  </si>
  <si>
    <t>apurement</t>
  </si>
  <si>
    <t>Créé le: Vendredi 2 Janvier 2026 11:34</t>
  </si>
  <si>
    <t>Ressources stables</t>
  </si>
  <si>
    <t>Capital</t>
  </si>
  <si>
    <t>Réserves</t>
  </si>
  <si>
    <t>Résultat</t>
  </si>
  <si>
    <t>Emprunts long terme</t>
  </si>
  <si>
    <t>👉 Pas encore utilisés dans ton modèle (normal pour un proto).</t>
  </si>
  <si>
    <t>Classe 2 – Comptes d’immobilisations</t>
  </si>
  <si>
    <t>➡️ Ce qui dure dans le temps</t>
  </si>
  <si>
    <t>Immobilisations incorporelles</t>
  </si>
  <si>
    <t>Matériel</t>
  </si>
  <si>
    <t>Véhicules</t>
  </si>
  <si>
    <t>Amortissements</t>
  </si>
  <si>
    <t>Classe 3 – Comptes de stocks</t>
  </si>
  <si>
    <t>➡️ Biens destinés à être consommés ou vendus</t>
  </si>
  <si>
    <t>Stocks de marchandises</t>
  </si>
  <si>
    <t>Stocks de matières premières</t>
  </si>
  <si>
    <t>Classe 4 – Comptes de tiers</t>
  </si>
  <si>
    <t>➡️ Relations avec des personnes ou organismes</t>
  </si>
  <si>
    <t>C’est très important pour ton projet.</t>
  </si>
  <si>
    <t>401 Fournisseurs</t>
  </si>
  <si>
    <t>411 Clients</t>
  </si>
  <si>
    <t>421 Personnel</t>
  </si>
  <si>
    <t>431 Sécurité sociale</t>
  </si>
  <si>
    <t>467 Autres comptes débiteurs ou créditeurs</t>
  </si>
  <si>
    <t>👉 Dans ton modèle :</t>
  </si>
  <si>
    <t>467A, 467B, 467C</t>
  </si>
  <si>
    <t>→ Sous-comptes de tiers individualisés par personne</t>
  </si>
  <si>
    <t>➡️ Appellation officielle :</t>
  </si>
  <si>
    <t>Comptes de tiers</t>
  </si>
  <si>
    <t>Classe 5 – Comptes financiers</t>
  </si>
  <si>
    <t>➡️ Trésorerie</t>
  </si>
  <si>
    <t>531 Caisse</t>
  </si>
  <si>
    <t>518 Autres comptes financiers</t>
  </si>
  <si>
    <t>Classe 6 – Comptes de charges</t>
  </si>
  <si>
    <t>➡️ Ce que ça coûte</t>
  </si>
  <si>
    <t>60 Achats</t>
  </si>
  <si>
    <t>606 Achats non stockés</t>
  </si>
  <si>
    <t>6061 Achats alimentaires ✔️</t>
  </si>
  <si>
    <t>👉 Dans ton code :</t>
  </si>
  <si>
    <t>CompteComptable(numero="6061", nature="CHARGE")</t>
  </si>
  <si>
    <t>Comptes de charges</t>
  </si>
  <si>
    <t>Classe 7 – Comptes de produits</t>
  </si>
  <si>
    <t>➡️ Ce que ça rapporte</t>
  </si>
  <si>
    <t>Ventes</t>
  </si>
  <si>
    <t>Produits divers</t>
  </si>
  <si>
    <t>🔄 Autres notions que tu utilises (hors PCG strict)</t>
  </si>
  <si>
    <t>📒 Journal</t>
  </si>
  <si>
    <t>OD (Opérations Diverses)</t>
  </si>
  <si>
    <t>Banque</t>
  </si>
  <si>
    <t>Achats</t>
  </si>
  <si>
    <t>➡️ Le journal n’est pas un compte, c’est un support d’enregistrement</t>
  </si>
  <si>
    <t>✍️ Écriture comptable</t>
  </si>
  <si>
    <t>➡️ Ligne élémentaire :</t>
  </si>
  <si>
    <t>un compte</t>
  </si>
  <si>
    <t>un débit OU un crédit</t>
  </si>
  <si>
    <t>une date</t>
  </si>
  <si>
    <t>un libellé</t>
  </si>
  <si>
    <t>🧭 Axe analytique / opération individualisée</t>
  </si>
  <si>
    <t>Dans le PCG :</t>
  </si>
  <si>
    <t>non obligatoire</t>
  </si>
  <si>
    <t>relève de la comptabilité analytique</t>
  </si>
  <si>
    <t>Classe 1 – Comptes de capitaux</t>
  </si>
  <si>
    <t>Créé le: Samedi 3 Janvier 2026 06:32</t>
  </si>
  <si>
    <t>Modifié le: Samedi 3 Janvier 2026 06:32</t>
  </si>
  <si>
    <t xml:space="preserve">Interpétation </t>
  </si>
  <si>
    <t>La règle de la double écriture garantit la cohérence des résultats cherchés</t>
  </si>
  <si>
    <t>Exemple 1</t>
  </si>
  <si>
    <t>Je veux savoir combien coûte la colocation dans une tranche de temps donnée</t>
  </si>
  <si>
    <t>Tous les achats faits pour la colocation sont comptés au débit du compte de classe 6</t>
  </si>
  <si>
    <t>Crédit</t>
  </si>
  <si>
    <t>Débit</t>
  </si>
  <si>
    <t>Total débit = total crédit par événement</t>
  </si>
  <si>
    <t>La charge de l'entité augmente</t>
  </si>
  <si>
    <t>L'entité est ici la colocation</t>
  </si>
  <si>
    <t>Ex: un remboursement</t>
  </si>
  <si>
    <t>La charge de l'entité diminue</t>
  </si>
  <si>
    <t>La dette de l'entité augmente</t>
  </si>
  <si>
    <t xml:space="preserve">Si des tiers (ex: le colocataires) participent au paiement de charges </t>
  </si>
  <si>
    <t>consommées par l'entité, le montant correspondant constitue</t>
  </si>
  <si>
    <t>une dette de l'entité vis-à-vis de ces tiers</t>
  </si>
  <si>
    <t>Nature = Passif</t>
  </si>
  <si>
    <t>Nature = Charge</t>
  </si>
  <si>
    <t>Solde d'un compte = débit - crédit</t>
  </si>
  <si>
    <t>Solde &gt; 0 ---&gt; Solde débiteur</t>
  </si>
  <si>
    <t>Solde &lt; 0 ---&gt; Solde créditeur</t>
  </si>
  <si>
    <t>Modifié le: Samedi 3 Janvier 2026 08:46</t>
  </si>
  <si>
    <t>Débit = augmentation</t>
  </si>
  <si>
    <t>Crédit = diminution</t>
  </si>
  <si>
    <t>Débit = diminution de la dette</t>
  </si>
  <si>
    <t>Crédit = augmentation de la dette</t>
  </si>
  <si>
    <t>Débit = augmentation de la charge</t>
  </si>
  <si>
    <t>Crédit = diminution (rare, par exemple annulation)</t>
  </si>
  <si>
    <t>Débit = diminution du produit</t>
  </si>
  <si>
    <t>Crédit = augmentation du produit</t>
  </si>
  <si>
    <t>💡 Exemple concret avec ton achat de 90 € :</t>
  </si>
  <si>
    <t>1. Achat supermarché : 6061 débit 90 €</t>
  </si>
  <si>
    <t>2. Répartition : 467A/B/C crédit 30 € chacun</t>
  </si>
  <si>
    <t>3. Paiement réel par Alice :</t>
  </si>
  <si>
    <t>512 Banque crédit 90 € (argent sorti)</t>
  </si>
  <si>
    <t>467A débit 90 € (dette remboursée)</t>
  </si>
  <si>
    <t>Au final : 6061 = 90 D, 467A/B/C = 0 si tout est payé, 512 = dépend de l’état de la banque.</t>
  </si>
  <si>
    <r>
      <rPr>
        <b/>
        <sz val="11"/>
        <color theme="0"/>
        <rFont val="Calibri"/>
        <family val="2"/>
        <scheme val="minor"/>
      </rPr>
      <t>Actif</t>
    </r>
    <r>
      <rPr>
        <sz val="11"/>
        <color theme="0"/>
        <rFont val="Calibri"/>
        <family val="2"/>
        <scheme val="minor"/>
      </rPr>
      <t xml:space="preserve"> (Banque, Créances, Immobilisations)</t>
    </r>
  </si>
  <si>
    <r>
      <rPr>
        <b/>
        <sz val="11"/>
        <color theme="0"/>
        <rFont val="Calibri"/>
        <family val="2"/>
        <scheme val="minor"/>
      </rPr>
      <t>Passif</t>
    </r>
    <r>
      <rPr>
        <sz val="11"/>
        <color theme="0"/>
        <rFont val="Calibri"/>
        <family val="2"/>
        <scheme val="minor"/>
      </rPr>
      <t xml:space="preserve"> (Dettes, Fournisseurs, Colocs)</t>
    </r>
  </si>
  <si>
    <r>
      <rPr>
        <b/>
        <sz val="11"/>
        <color theme="0"/>
        <rFont val="Calibri"/>
        <family val="2"/>
        <scheme val="minor"/>
      </rPr>
      <t>Charges</t>
    </r>
    <r>
      <rPr>
        <sz val="11"/>
        <color theme="0"/>
        <rFont val="Calibri"/>
        <family val="2"/>
        <scheme val="minor"/>
      </rPr>
      <t xml:space="preserve"> (6061, autres achats)</t>
    </r>
  </si>
  <si>
    <r>
      <rPr>
        <b/>
        <sz val="11"/>
        <color theme="0"/>
        <rFont val="Calibri"/>
        <family val="2"/>
        <scheme val="minor"/>
      </rPr>
      <t>Produits</t>
    </r>
    <r>
      <rPr>
        <sz val="11"/>
        <color theme="0"/>
        <rFont val="Calibri"/>
        <family val="2"/>
        <scheme val="minor"/>
      </rPr>
      <t xml:space="preserve"> (loyer reçu, remboursements)</t>
    </r>
  </si>
  <si>
    <t>Règles générales pour t’y retrouver (nature):</t>
  </si>
  <si>
    <t>Nomenclature comptable et principes</t>
  </si>
  <si>
    <t>******************************** JOURNAL *******************************************</t>
  </si>
  <si>
    <t>(datetime.date(2026, 1, 3), '6061', 'Achats alimentaires', Decimal('90.00'), None)</t>
  </si>
  <si>
    <t>(datetime.date(2026, 1, 3), '467A', 'Compte Alice', None, Decimal('30.00'))</t>
  </si>
  <si>
    <t>(datetime.date(2026, 1, 3), '467B', 'Compte Bob', None, Decimal('30.00'))</t>
  </si>
  <si>
    <t>(datetime.date(2026, 1, 3), '467C', 'Compte Claire', None, Decimal('30.00'))</t>
  </si>
  <si>
    <t>(datetime.date(2026, 1, 3), '512', 'Banque', None, Decimal('90.00'))</t>
  </si>
  <si>
    <t>(datetime.date(2026, 1, 3), '467A', 'Compte Alice', Decimal('90.00'), None)</t>
  </si>
  <si>
    <t>********************************* SOLDE PAR PERSONNE *****************************************</t>
  </si>
  <si>
    <t>('467A', Decimal('-60.00'))</t>
  </si>
  <si>
    <t>('467B', Decimal('30.00'))</t>
  </si>
  <si>
    <t>('467C', Decimal('30.00'))</t>
  </si>
  <si>
    <t>(datetime.date(2026, 1, 3), '467A', 'Compte Alice', Decimal('30.00'), None)</t>
  </si>
  <si>
    <t>(datetime.date(2026, 1, 3), '512', 'Banque', Decimal('30.00'), Decimal('30.00'))</t>
  </si>
  <si>
    <t>('467A', Decimal('0.00'))</t>
  </si>
  <si>
    <t>Nature = Actif</t>
  </si>
  <si>
    <t>Augmentation du montant</t>
  </si>
  <si>
    <t>Diminution du montant</t>
  </si>
  <si>
    <t>A l'achat, le montant de la banque diminue --&gt; Crédit</t>
  </si>
  <si>
    <t>Entrée</t>
  </si>
  <si>
    <t>Sortie</t>
  </si>
  <si>
    <t>RÈGLE GÉNÉRALE : QUI DÉBITE / QUI CRÉDITE ?</t>
  </si>
  <si>
    <t>Principe fondamental (le seul à retenir)</t>
  </si>
  <si>
    <t>Ce qui AUGMENTE s’écrit du côté NORMAL du compte</t>
  </si>
  <si>
    <t>Ce qui DIMINUE s’écrit du côté OPPOSÉ</t>
  </si>
  <si>
    <t>Le “côté normal” dépend de la nature du compte.</t>
  </si>
  <si>
    <t>🧱 Les 4 grandes natures de comptes</t>
  </si>
  <si>
    <t>Nature</t>
  </si>
  <si>
    <t>Classes</t>
  </si>
  <si>
    <t>Côté normal</t>
  </si>
  <si>
    <t>Augmente quand on écrit</t>
  </si>
  <si>
    <t>1, 2, 3, 5</t>
  </si>
  <si>
    <t>Gauche</t>
  </si>
  <si>
    <t>à gauche</t>
  </si>
  <si>
    <t>4, 1</t>
  </si>
  <si>
    <t>Droite</t>
  </si>
  <si>
    <t>à droite</t>
  </si>
  <si>
    <t>Produit</t>
  </si>
  <si>
    <t>🔁 Traduction gauche / droite → débit / crédit</t>
  </si>
  <si>
    <t>Écriture</t>
  </si>
  <si>
    <t>Terme</t>
  </si>
  <si>
    <t>6</t>
  </si>
  <si>
    <t>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</si>
</sst>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theme="1"/>
      <name val="Arial Unicode MS"/>
      <family val="2"/>
    </font>
    <font>
      <sz val="8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rgb="FF92D050"/>
      <name val="Calibri"/>
      <family val="2"/>
      <scheme val="minor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BDD7EE"/>
        <bgColor rgb="FFBDD7EE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C6EFCE"/>
        <b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3" fillId="0" borderId="0" xfId="0" applyFont="1"/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/>
    </xf>
    <xf numFmtId="0" fontId="0" fillId="0" borderId="0" xfId="0" quotePrefix="1"/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9" fillId="6" borderId="0" xfId="0" applyFont="1" applyFill="1" applyAlignment="1">
      <alignment vertical="center"/>
    </xf>
    <xf numFmtId="0" fontId="4" fillId="0" borderId="0" xfId="0" applyFont="1" applyAlignment="1">
      <alignment horizontal="right" vertical="center"/>
    </xf>
    <xf numFmtId="0" fontId="8" fillId="0" borderId="0" xfId="0" applyFont="1" applyAlignment="1">
      <alignment vertical="center"/>
    </xf>
    <xf numFmtId="4" fontId="0" fillId="0" borderId="0" xfId="0" applyNumberFormat="1" applyAlignment="1">
      <alignment horizontal="right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" fillId="0" borderId="0" xfId="0" applyFont="1"/>
    <xf numFmtId="0" fontId="0" fillId="0" borderId="1" xfId="0" applyBorder="1" applyAlignment="1">
      <alignment horizontal="center"/>
    </xf>
    <xf numFmtId="0" fontId="14" fillId="0" borderId="0" xfId="0" applyFont="1"/>
    <xf numFmtId="0" fontId="16" fillId="0" borderId="0" xfId="0" applyFont="1"/>
    <xf numFmtId="0" fontId="0" fillId="0" borderId="1" xfId="0" applyBorder="1"/>
    <xf numFmtId="0" fontId="17" fillId="0" borderId="1" xfId="0" applyFont="1" applyBorder="1" applyAlignment="1">
      <alignment horizontal="center"/>
    </xf>
    <xf numFmtId="0" fontId="18" fillId="7" borderId="0" xfId="0" applyFont="1" applyFill="1"/>
    <xf numFmtId="0" fontId="15" fillId="7" borderId="0" xfId="0" applyFont="1" applyFill="1"/>
    <xf numFmtId="0" fontId="13" fillId="7" borderId="0" xfId="0" applyFont="1" applyFill="1"/>
    <xf numFmtId="0" fontId="0" fillId="6" borderId="0" xfId="0" applyFill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0" xfId="0" applyFill="1"/>
    <xf numFmtId="0" fontId="0" fillId="9" borderId="4" xfId="0" applyFill="1" applyBorder="1"/>
    <xf numFmtId="0" fontId="0" fillId="9" borderId="5" xfId="0" applyFill="1" applyBorder="1"/>
    <xf numFmtId="0" fontId="0" fillId="9" borderId="6" xfId="0" applyFill="1" applyBorder="1"/>
    <xf numFmtId="0" fontId="15" fillId="10" borderId="1" xfId="0" applyFont="1" applyFill="1" applyBorder="1" applyAlignment="1">
      <alignment horizontal="center"/>
    </xf>
    <xf numFmtId="0" fontId="1" fillId="9" borderId="0" xfId="0" applyFont="1" applyFill="1"/>
    <xf numFmtId="0" fontId="19" fillId="9" borderId="0" xfId="0" applyFont="1" applyFill="1"/>
    <xf numFmtId="0" fontId="0" fillId="9" borderId="4" xfId="0" applyFill="1" applyBorder="1" applyAlignment="1">
      <alignment horizontal="center"/>
    </xf>
    <xf numFmtId="0" fontId="0" fillId="9" borderId="5" xfId="0" quotePrefix="1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6" xfId="0" quotePrefix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8</xdr:col>
      <xdr:colOff>641025</xdr:colOff>
      <xdr:row>0</xdr:row>
      <xdr:rowOff>180000</xdr:rowOff>
    </xdr:to>
    <xdr:sp macro="[0]!HOrodater_creation" textlink="">
      <xdr:nvSpPr>
        <xdr:cNvPr id="4" name="Plaque 1">
          <a:extLst>
            <a:ext uri="{FF2B5EF4-FFF2-40B4-BE49-F238E27FC236}">
              <a16:creationId xmlns:a16="http://schemas.microsoft.com/office/drawing/2014/main" id="{DAF40B7A-14EA-48FB-B0E5-25866710276A}"/>
            </a:ext>
          </a:extLst>
        </xdr:cNvPr>
        <xdr:cNvSpPr/>
      </xdr:nvSpPr>
      <xdr:spPr>
        <a:xfrm>
          <a:off x="8697686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8</xdr:col>
      <xdr:colOff>642386</xdr:colOff>
      <xdr:row>2</xdr:row>
      <xdr:rowOff>141899</xdr:rowOff>
    </xdr:to>
    <xdr:sp macro="[0]!HOrodater_modif" textlink="">
      <xdr:nvSpPr>
        <xdr:cNvPr id="5" name="Plaque 2">
          <a:extLst>
            <a:ext uri="{FF2B5EF4-FFF2-40B4-BE49-F238E27FC236}">
              <a16:creationId xmlns:a16="http://schemas.microsoft.com/office/drawing/2014/main" id="{AACDE534-871E-43E5-A423-C82774F7691F}"/>
            </a:ext>
          </a:extLst>
        </xdr:cNvPr>
        <xdr:cNvSpPr/>
      </xdr:nvSpPr>
      <xdr:spPr>
        <a:xfrm>
          <a:off x="8699047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8</xdr:col>
      <xdr:colOff>314453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84AAAE67-9EF5-41D7-B979-BCC00807E431}"/>
            </a:ext>
          </a:extLst>
        </xdr:cNvPr>
        <xdr:cNvSpPr/>
      </xdr:nvSpPr>
      <xdr:spPr>
        <a:xfrm>
          <a:off x="10194471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6</xdr:col>
      <xdr:colOff>1361</xdr:colOff>
      <xdr:row>1</xdr:row>
      <xdr:rowOff>152399</xdr:rowOff>
    </xdr:from>
    <xdr:to>
      <xdr:col>8</xdr:col>
      <xdr:colOff>315814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281B7F7-0746-46F8-95FA-AB2F9EEA3F74}"/>
            </a:ext>
          </a:extLst>
        </xdr:cNvPr>
        <xdr:cNvSpPr/>
      </xdr:nvSpPr>
      <xdr:spPr>
        <a:xfrm>
          <a:off x="10195832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493C9A1A-CA39-459A-AFEB-013081FDF7FE}"/>
            </a:ext>
          </a:extLst>
        </xdr:cNvPr>
        <xdr:cNvSpPr/>
      </xdr:nvSpPr>
      <xdr:spPr>
        <a:xfrm>
          <a:off x="7053943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7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0D2EA10-8D3C-4E33-ADA4-CE2D725D0240}"/>
            </a:ext>
          </a:extLst>
        </xdr:cNvPr>
        <xdr:cNvSpPr/>
      </xdr:nvSpPr>
      <xdr:spPr>
        <a:xfrm>
          <a:off x="7055304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7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13B8F07D-6350-4DE2-9285-1EC1BC8F253A}"/>
            </a:ext>
          </a:extLst>
        </xdr:cNvPr>
        <xdr:cNvSpPr/>
      </xdr:nvSpPr>
      <xdr:spPr>
        <a:xfrm>
          <a:off x="8305800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5</xdr:col>
      <xdr:colOff>1361</xdr:colOff>
      <xdr:row>1</xdr:row>
      <xdr:rowOff>152399</xdr:rowOff>
    </xdr:from>
    <xdr:to>
      <xdr:col>7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DB006377-D800-4D60-9075-9497039EBF33}"/>
            </a:ext>
          </a:extLst>
        </xdr:cNvPr>
        <xdr:cNvSpPr/>
      </xdr:nvSpPr>
      <xdr:spPr>
        <a:xfrm>
          <a:off x="8307161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16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09F6AEA6-8B1C-4244-98B9-E02BD6ED17CF}"/>
            </a:ext>
          </a:extLst>
        </xdr:cNvPr>
        <xdr:cNvSpPr/>
      </xdr:nvSpPr>
      <xdr:spPr>
        <a:xfrm>
          <a:off x="6934200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14</xdr:col>
      <xdr:colOff>1361</xdr:colOff>
      <xdr:row>1</xdr:row>
      <xdr:rowOff>152399</xdr:rowOff>
    </xdr:from>
    <xdr:to>
      <xdr:col>16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ACB6B62F-877E-4DE8-BB2F-0F3D47106B65}"/>
            </a:ext>
          </a:extLst>
        </xdr:cNvPr>
        <xdr:cNvSpPr/>
      </xdr:nvSpPr>
      <xdr:spPr>
        <a:xfrm>
          <a:off x="6935561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0</xdr:row>
      <xdr:rowOff>0</xdr:rowOff>
    </xdr:from>
    <xdr:to>
      <xdr:col>16</xdr:col>
      <xdr:colOff>53196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47462D43-3E9A-4B55-AAE7-973F42A9C9F3}"/>
            </a:ext>
          </a:extLst>
        </xdr:cNvPr>
        <xdr:cNvSpPr/>
      </xdr:nvSpPr>
      <xdr:spPr>
        <a:xfrm>
          <a:off x="11566071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14</xdr:col>
      <xdr:colOff>1361</xdr:colOff>
      <xdr:row>1</xdr:row>
      <xdr:rowOff>152399</xdr:rowOff>
    </xdr:from>
    <xdr:to>
      <xdr:col>16</xdr:col>
      <xdr:colOff>54557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34E553EC-D331-4F18-ACE1-D4F56CB58FC7}"/>
            </a:ext>
          </a:extLst>
        </xdr:cNvPr>
        <xdr:cNvSpPr/>
      </xdr:nvSpPr>
      <xdr:spPr>
        <a:xfrm>
          <a:off x="11567432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12</xdr:col>
      <xdr:colOff>641025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ABD01F8E-5A33-43F8-A05D-DEA6EE7E26EF}"/>
            </a:ext>
          </a:extLst>
        </xdr:cNvPr>
        <xdr:cNvSpPr/>
      </xdr:nvSpPr>
      <xdr:spPr>
        <a:xfrm>
          <a:off x="4778829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9</xdr:col>
      <xdr:colOff>1361</xdr:colOff>
      <xdr:row>1</xdr:row>
      <xdr:rowOff>152399</xdr:rowOff>
    </xdr:from>
    <xdr:to>
      <xdr:col>12</xdr:col>
      <xdr:colOff>642386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38BDB87B-5084-48D3-9A4B-2EF5AEDCAF4A}"/>
            </a:ext>
          </a:extLst>
        </xdr:cNvPr>
        <xdr:cNvSpPr/>
      </xdr:nvSpPr>
      <xdr:spPr>
        <a:xfrm>
          <a:off x="4780190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6</xdr:col>
          <xdr:colOff>3761014</xdr:colOff>
          <xdr:row>31</xdr:row>
          <xdr:rowOff>185057</xdr:rowOff>
        </xdr:to>
        <xdr:pic>
          <xdr:nvPicPr>
            <xdr:cNvPr id="5" name="Image 4">
              <a:extLst>
                <a:ext uri="{FF2B5EF4-FFF2-40B4-BE49-F238E27FC236}">
                  <a16:creationId xmlns:a16="http://schemas.microsoft.com/office/drawing/2014/main" id="{54F2ADBA-7A47-18DC-E296-8A36F002546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9:$S$32" spid="_x0000_s71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389914" y="1480457"/>
              <a:ext cx="5704114" cy="4441371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59</xdr:row>
          <xdr:rowOff>0</xdr:rowOff>
        </xdr:from>
        <xdr:to>
          <xdr:col>4</xdr:col>
          <xdr:colOff>1725386</xdr:colOff>
          <xdr:row>80</xdr:row>
          <xdr:rowOff>185057</xdr:rowOff>
        </xdr:to>
        <xdr:pic>
          <xdr:nvPicPr>
            <xdr:cNvPr id="6" name="Image 5">
              <a:extLst>
                <a:ext uri="{FF2B5EF4-FFF2-40B4-BE49-F238E27FC236}">
                  <a16:creationId xmlns:a16="http://schemas.microsoft.com/office/drawing/2014/main" id="{3BBC220D-9CE3-44AD-19E3-490CDEEA8D4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U$34:$Y$55" spid="_x0000_s719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23014" y="10918371"/>
              <a:ext cx="3592286" cy="407125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11</xdr:col>
      <xdr:colOff>641025</xdr:colOff>
      <xdr:row>0</xdr:row>
      <xdr:rowOff>180000</xdr:rowOff>
    </xdr:to>
    <xdr:sp macro="[0]!HOrodater_creation" textlink="">
      <xdr:nvSpPr>
        <xdr:cNvPr id="2" name="Plaque 1">
          <a:extLst>
            <a:ext uri="{FF2B5EF4-FFF2-40B4-BE49-F238E27FC236}">
              <a16:creationId xmlns:a16="http://schemas.microsoft.com/office/drawing/2014/main" id="{F7F34340-3AAE-42C5-A768-22EEEC6A7823}"/>
            </a:ext>
          </a:extLst>
        </xdr:cNvPr>
        <xdr:cNvSpPr/>
      </xdr:nvSpPr>
      <xdr:spPr>
        <a:xfrm>
          <a:off x="8153400" y="0"/>
          <a:ext cx="1620739" cy="1800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création</a:t>
          </a:r>
        </a:p>
      </xdr:txBody>
    </xdr:sp>
    <xdr:clientData fPrintsWithSheet="0"/>
  </xdr:twoCellAnchor>
  <xdr:twoCellAnchor editAs="oneCell">
    <xdr:from>
      <xdr:col>8</xdr:col>
      <xdr:colOff>1361</xdr:colOff>
      <xdr:row>1</xdr:row>
      <xdr:rowOff>152399</xdr:rowOff>
    </xdr:from>
    <xdr:to>
      <xdr:col>11</xdr:col>
      <xdr:colOff>642386</xdr:colOff>
      <xdr:row>2</xdr:row>
      <xdr:rowOff>141899</xdr:rowOff>
    </xdr:to>
    <xdr:sp macro="[0]!HOrodater_modif" textlink="">
      <xdr:nvSpPr>
        <xdr:cNvPr id="3" name="Plaque 2">
          <a:extLst>
            <a:ext uri="{FF2B5EF4-FFF2-40B4-BE49-F238E27FC236}">
              <a16:creationId xmlns:a16="http://schemas.microsoft.com/office/drawing/2014/main" id="{B0D73B21-41D5-45D4-BD72-5F915470FC79}"/>
            </a:ext>
          </a:extLst>
        </xdr:cNvPr>
        <xdr:cNvSpPr/>
      </xdr:nvSpPr>
      <xdr:spPr>
        <a:xfrm>
          <a:off x="8154761" y="337456"/>
          <a:ext cx="1620739" cy="174557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Horodater modification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A602-10D7-40EA-BE6D-52774BC2996A}">
  <sheetPr codeName="Feuil1"/>
  <dimension ref="A1:D17"/>
  <sheetViews>
    <sheetView showGridLines="0" workbookViewId="0">
      <selection activeCell="D1" sqref="D1:H1048576"/>
    </sheetView>
  </sheetViews>
  <sheetFormatPr baseColWidth="10" defaultColWidth="9.23046875" defaultRowHeight="14.6" x14ac:dyDescent="0.4"/>
  <cols>
    <col min="1" max="1" width="11.921875" bestFit="1" customWidth="1"/>
    <col min="2" max="2" width="31.61328125" bestFit="1" customWidth="1"/>
    <col min="3" max="3" width="14.765625" bestFit="1" customWidth="1"/>
    <col min="4" max="8" width="4.61328125" customWidth="1"/>
  </cols>
  <sheetData>
    <row r="1" spans="1:4" x14ac:dyDescent="0.4">
      <c r="D1" s="6" t="s">
        <v>95</v>
      </c>
    </row>
    <row r="2" spans="1:4" x14ac:dyDescent="0.4">
      <c r="D2" s="6" t="s">
        <v>96</v>
      </c>
    </row>
    <row r="3" spans="1:4" x14ac:dyDescent="0.4">
      <c r="D3" s="7" t="str" cm="1">
        <f t="array" aca="1" ref="D3" ca="1">chemin()</f>
        <v>C:\mes_dossiers_synchronises\gestion_budget_colocs_v1\documentation</v>
      </c>
    </row>
    <row r="6" spans="1:4" x14ac:dyDescent="0.4">
      <c r="A6" t="s">
        <v>58</v>
      </c>
      <c r="B6" t="s">
        <v>57</v>
      </c>
      <c r="C6" t="s">
        <v>56</v>
      </c>
    </row>
    <row r="7" spans="1:4" x14ac:dyDescent="0.4">
      <c r="A7" s="4" t="s">
        <v>55</v>
      </c>
      <c r="B7" s="4" t="s">
        <v>54</v>
      </c>
      <c r="C7" s="4" t="s">
        <v>49</v>
      </c>
    </row>
    <row r="8" spans="1:4" x14ac:dyDescent="0.4">
      <c r="A8" s="4" t="s">
        <v>53</v>
      </c>
      <c r="B8" s="4" t="s">
        <v>52</v>
      </c>
      <c r="C8" s="4" t="s">
        <v>49</v>
      </c>
    </row>
    <row r="9" spans="1:4" x14ac:dyDescent="0.4">
      <c r="A9" s="4" t="s">
        <v>51</v>
      </c>
      <c r="B9" s="4" t="s">
        <v>50</v>
      </c>
      <c r="C9" s="4" t="s">
        <v>49</v>
      </c>
    </row>
    <row r="10" spans="1:4" x14ac:dyDescent="0.4">
      <c r="A10" s="3" t="s">
        <v>6</v>
      </c>
      <c r="B10" s="3" t="s">
        <v>48</v>
      </c>
      <c r="C10" s="3" t="s">
        <v>46</v>
      </c>
    </row>
    <row r="11" spans="1:4" x14ac:dyDescent="0.4">
      <c r="A11" s="3" t="s">
        <v>18</v>
      </c>
      <c r="B11" s="3" t="s">
        <v>47</v>
      </c>
      <c r="C11" s="3" t="s">
        <v>46</v>
      </c>
    </row>
    <row r="12" spans="1:4" x14ac:dyDescent="0.4">
      <c r="A12" s="2" t="s">
        <v>45</v>
      </c>
      <c r="B12" s="2" t="s">
        <v>44</v>
      </c>
      <c r="C12" s="2" t="s">
        <v>35</v>
      </c>
    </row>
    <row r="13" spans="1:4" x14ac:dyDescent="0.4">
      <c r="A13" s="2" t="s">
        <v>43</v>
      </c>
      <c r="B13" s="2" t="s">
        <v>42</v>
      </c>
      <c r="C13" s="2" t="s">
        <v>35</v>
      </c>
    </row>
    <row r="14" spans="1:4" x14ac:dyDescent="0.4">
      <c r="A14" s="2" t="s">
        <v>41</v>
      </c>
      <c r="B14" s="2" t="s">
        <v>40</v>
      </c>
      <c r="C14" s="2" t="s">
        <v>35</v>
      </c>
    </row>
    <row r="15" spans="1:4" x14ac:dyDescent="0.4">
      <c r="A15" s="2" t="s">
        <v>39</v>
      </c>
      <c r="B15" s="2" t="s">
        <v>38</v>
      </c>
      <c r="C15" s="2" t="s">
        <v>35</v>
      </c>
    </row>
    <row r="16" spans="1:4" x14ac:dyDescent="0.4">
      <c r="A16" s="2" t="s">
        <v>37</v>
      </c>
      <c r="B16" s="2" t="s">
        <v>36</v>
      </c>
      <c r="C16" s="2" t="s">
        <v>35</v>
      </c>
    </row>
    <row r="17" spans="1:3" x14ac:dyDescent="0.4">
      <c r="A17" s="1" t="s">
        <v>34</v>
      </c>
      <c r="B17" s="1" t="s">
        <v>33</v>
      </c>
      <c r="C17" s="1" t="s">
        <v>32</v>
      </c>
    </row>
  </sheetData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E15"/>
  <sheetViews>
    <sheetView showGridLines="0" workbookViewId="0">
      <selection activeCell="B7" sqref="B7"/>
    </sheetView>
  </sheetViews>
  <sheetFormatPr baseColWidth="10" defaultColWidth="9.23046875" defaultRowHeight="14.6" x14ac:dyDescent="0.4"/>
  <cols>
    <col min="1" max="1" width="28.4609375" bestFit="1" customWidth="1"/>
    <col min="2" max="2" width="18.765625" bestFit="1" customWidth="1"/>
    <col min="3" max="3" width="22.53515625" bestFit="1" customWidth="1"/>
    <col min="4" max="4" width="37.3828125" bestFit="1" customWidth="1"/>
    <col min="6" max="6" width="2.69140625" customWidth="1"/>
  </cols>
  <sheetData>
    <row r="1" spans="1:5" x14ac:dyDescent="0.4">
      <c r="E1" s="6" t="s">
        <v>97</v>
      </c>
    </row>
    <row r="2" spans="1:5" x14ac:dyDescent="0.4">
      <c r="E2" s="6" t="s">
        <v>98</v>
      </c>
    </row>
    <row r="3" spans="1:5" x14ac:dyDescent="0.4">
      <c r="E3" s="7" t="str" cm="1">
        <f t="array" aca="1" ref="E3" ca="1">chemin()</f>
        <v>C:\mes_dossiers_synchronises\gestion_budget_colocs_v1\documentation</v>
      </c>
    </row>
    <row r="6" spans="1:5" x14ac:dyDescent="0.4">
      <c r="A6" t="s">
        <v>0</v>
      </c>
      <c r="B6" t="s">
        <v>1</v>
      </c>
      <c r="C6" t="s">
        <v>2</v>
      </c>
      <c r="D6" t="s">
        <v>3</v>
      </c>
    </row>
    <row r="7" spans="1:5" x14ac:dyDescent="0.4">
      <c r="A7" t="s">
        <v>4</v>
      </c>
      <c r="B7" t="s">
        <v>5</v>
      </c>
      <c r="C7" t="s">
        <v>6</v>
      </c>
      <c r="D7" t="s">
        <v>7</v>
      </c>
    </row>
    <row r="8" spans="1:5" x14ac:dyDescent="0.4">
      <c r="A8" t="s">
        <v>8</v>
      </c>
      <c r="B8" t="s">
        <v>6</v>
      </c>
      <c r="C8" t="s">
        <v>9</v>
      </c>
      <c r="D8" t="s">
        <v>10</v>
      </c>
    </row>
    <row r="9" spans="1:5" x14ac:dyDescent="0.4">
      <c r="A9" t="s">
        <v>11</v>
      </c>
      <c r="B9" t="s">
        <v>12</v>
      </c>
      <c r="C9" t="s">
        <v>6</v>
      </c>
      <c r="D9" t="s">
        <v>13</v>
      </c>
    </row>
    <row r="10" spans="1:5" x14ac:dyDescent="0.4">
      <c r="A10" t="s">
        <v>14</v>
      </c>
      <c r="B10" t="s">
        <v>15</v>
      </c>
      <c r="C10" t="s">
        <v>9</v>
      </c>
      <c r="D10" t="s">
        <v>16</v>
      </c>
    </row>
    <row r="11" spans="1:5" x14ac:dyDescent="0.4">
      <c r="A11" t="s">
        <v>17</v>
      </c>
      <c r="B11" t="s">
        <v>18</v>
      </c>
      <c r="C11" t="s">
        <v>9</v>
      </c>
      <c r="D11" t="s">
        <v>19</v>
      </c>
    </row>
    <row r="12" spans="1:5" x14ac:dyDescent="0.4">
      <c r="A12" t="s">
        <v>20</v>
      </c>
      <c r="B12" t="s">
        <v>9</v>
      </c>
      <c r="C12" t="s">
        <v>18</v>
      </c>
      <c r="D12" t="s">
        <v>21</v>
      </c>
    </row>
    <row r="13" spans="1:5" x14ac:dyDescent="0.4">
      <c r="A13" t="s">
        <v>22</v>
      </c>
      <c r="B13" t="s">
        <v>23</v>
      </c>
      <c r="C13" t="s">
        <v>6</v>
      </c>
      <c r="D13" t="s">
        <v>24</v>
      </c>
    </row>
    <row r="14" spans="1:5" x14ac:dyDescent="0.4">
      <c r="A14" t="s">
        <v>25</v>
      </c>
      <c r="B14" t="s">
        <v>26</v>
      </c>
      <c r="C14" t="s">
        <v>27</v>
      </c>
      <c r="D14" t="s">
        <v>28</v>
      </c>
    </row>
    <row r="15" spans="1:5" x14ac:dyDescent="0.4">
      <c r="A15" t="s">
        <v>29</v>
      </c>
      <c r="B15" t="s">
        <v>9</v>
      </c>
      <c r="C15" t="s">
        <v>30</v>
      </c>
      <c r="D15" t="s">
        <v>31</v>
      </c>
    </row>
  </sheetData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7355F-0753-4115-AC8F-00E9A499E98E}">
  <sheetPr codeName="Feuil3"/>
  <dimension ref="A1:D12"/>
  <sheetViews>
    <sheetView showGridLines="0" workbookViewId="0">
      <selection activeCell="B9" sqref="B9"/>
    </sheetView>
  </sheetViews>
  <sheetFormatPr baseColWidth="10" defaultRowHeight="14.6" x14ac:dyDescent="0.4"/>
  <cols>
    <col min="1" max="1" width="3.07421875" customWidth="1"/>
    <col min="2" max="2" width="17.84375" customWidth="1"/>
    <col min="3" max="3" width="63.3046875" customWidth="1"/>
    <col min="5" max="5" width="2.69140625" customWidth="1"/>
  </cols>
  <sheetData>
    <row r="1" spans="1:4" x14ac:dyDescent="0.4">
      <c r="A1" t="s">
        <v>101</v>
      </c>
      <c r="D1" s="6" t="s">
        <v>97</v>
      </c>
    </row>
    <row r="2" spans="1:4" x14ac:dyDescent="0.4">
      <c r="D2" s="6" t="s">
        <v>98</v>
      </c>
    </row>
    <row r="3" spans="1:4" x14ac:dyDescent="0.4">
      <c r="D3" s="7" t="str" cm="1">
        <f t="array" aca="1" ref="D3" ca="1">chemin()</f>
        <v>C:\mes_dossiers_synchronises\gestion_budget_colocs_v1\documentation</v>
      </c>
    </row>
    <row r="6" spans="1:4" x14ac:dyDescent="0.4">
      <c r="B6" t="s">
        <v>59</v>
      </c>
      <c r="C6" s="8" t="s">
        <v>104</v>
      </c>
    </row>
    <row r="7" spans="1:4" x14ac:dyDescent="0.4">
      <c r="B7" t="s">
        <v>60</v>
      </c>
      <c r="C7" s="8" t="s">
        <v>105</v>
      </c>
    </row>
    <row r="9" spans="1:4" x14ac:dyDescent="0.4">
      <c r="B9" t="s">
        <v>106</v>
      </c>
    </row>
    <row r="11" spans="1:4" x14ac:dyDescent="0.4">
      <c r="B11" t="s">
        <v>102</v>
      </c>
    </row>
    <row r="12" spans="1:4" x14ac:dyDescent="0.4">
      <c r="B12" t="s">
        <v>103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6C2FC-0D32-498F-B500-BFD1F5A37252}">
  <sheetPr codeName="Feuil4"/>
  <dimension ref="A1:D39"/>
  <sheetViews>
    <sheetView showGridLines="0" workbookViewId="0">
      <selection activeCell="C13" sqref="C13"/>
    </sheetView>
  </sheetViews>
  <sheetFormatPr baseColWidth="10" defaultRowHeight="14.6" x14ac:dyDescent="0.4"/>
  <cols>
    <col min="1" max="1" width="3.69140625" customWidth="1"/>
    <col min="2" max="2" width="2.921875" style="5" customWidth="1"/>
    <col min="3" max="3" width="80.69140625" customWidth="1"/>
    <col min="5" max="5" width="2.61328125" customWidth="1"/>
  </cols>
  <sheetData>
    <row r="1" spans="1:4" x14ac:dyDescent="0.4">
      <c r="A1" t="s">
        <v>94</v>
      </c>
      <c r="D1" s="6" t="s">
        <v>99</v>
      </c>
    </row>
    <row r="2" spans="1:4" x14ac:dyDescent="0.4">
      <c r="D2" s="6" t="s">
        <v>100</v>
      </c>
    </row>
    <row r="3" spans="1:4" x14ac:dyDescent="0.4">
      <c r="D3" s="7" t="str" cm="1">
        <f t="array" aca="1" ref="D3" ca="1">[0]!Module1.CHemin()</f>
        <v>C:\mes_dossiers_synchronises\gestion_budget_colocs_v1\documentation</v>
      </c>
    </row>
    <row r="7" spans="1:4" x14ac:dyDescent="0.4">
      <c r="B7" s="5" t="s">
        <v>61</v>
      </c>
    </row>
    <row r="8" spans="1:4" x14ac:dyDescent="0.4">
      <c r="C8" t="s">
        <v>62</v>
      </c>
    </row>
    <row r="9" spans="1:4" x14ac:dyDescent="0.4">
      <c r="C9" t="s">
        <v>63</v>
      </c>
    </row>
    <row r="10" spans="1:4" x14ac:dyDescent="0.4">
      <c r="C10" t="s">
        <v>64</v>
      </c>
    </row>
    <row r="11" spans="1:4" x14ac:dyDescent="0.4">
      <c r="C11" t="s">
        <v>65</v>
      </c>
    </row>
    <row r="12" spans="1:4" x14ac:dyDescent="0.4">
      <c r="B12" s="5" t="s">
        <v>66</v>
      </c>
    </row>
    <row r="13" spans="1:4" x14ac:dyDescent="0.4">
      <c r="C13" t="s">
        <v>67</v>
      </c>
    </row>
    <row r="14" spans="1:4" x14ac:dyDescent="0.4">
      <c r="C14" t="s">
        <v>68</v>
      </c>
    </row>
    <row r="15" spans="1:4" x14ac:dyDescent="0.4">
      <c r="C15" t="s">
        <v>69</v>
      </c>
    </row>
    <row r="16" spans="1:4" x14ac:dyDescent="0.4">
      <c r="B16" s="5" t="s">
        <v>70</v>
      </c>
    </row>
    <row r="17" spans="2:3" x14ac:dyDescent="0.4">
      <c r="C17" t="s">
        <v>71</v>
      </c>
    </row>
    <row r="18" spans="2:3" x14ac:dyDescent="0.4">
      <c r="C18" t="s">
        <v>72</v>
      </c>
    </row>
    <row r="19" spans="2:3" x14ac:dyDescent="0.4">
      <c r="B19" s="5" t="s">
        <v>73</v>
      </c>
    </row>
    <row r="20" spans="2:3" x14ac:dyDescent="0.4">
      <c r="C20" t="s">
        <v>74</v>
      </c>
    </row>
    <row r="21" spans="2:3" x14ac:dyDescent="0.4">
      <c r="C21" t="s">
        <v>75</v>
      </c>
    </row>
    <row r="22" spans="2:3" x14ac:dyDescent="0.4">
      <c r="B22" s="5" t="s">
        <v>76</v>
      </c>
    </row>
    <row r="23" spans="2:3" x14ac:dyDescent="0.4">
      <c r="C23" t="s">
        <v>77</v>
      </c>
    </row>
    <row r="24" spans="2:3" x14ac:dyDescent="0.4">
      <c r="C24" t="s">
        <v>78</v>
      </c>
    </row>
    <row r="25" spans="2:3" x14ac:dyDescent="0.4">
      <c r="C25" t="s">
        <v>79</v>
      </c>
    </row>
    <row r="26" spans="2:3" x14ac:dyDescent="0.4">
      <c r="C26" t="s">
        <v>80</v>
      </c>
    </row>
    <row r="27" spans="2:3" x14ac:dyDescent="0.4">
      <c r="B27" s="5" t="s">
        <v>81</v>
      </c>
    </row>
    <row r="28" spans="2:3" x14ac:dyDescent="0.4">
      <c r="C28" t="s">
        <v>82</v>
      </c>
    </row>
    <row r="29" spans="2:3" x14ac:dyDescent="0.4">
      <c r="C29" t="s">
        <v>83</v>
      </c>
    </row>
    <row r="30" spans="2:3" x14ac:dyDescent="0.4">
      <c r="B30" s="5" t="s">
        <v>84</v>
      </c>
    </row>
    <row r="31" spans="2:3" x14ac:dyDescent="0.4">
      <c r="C31" t="s">
        <v>85</v>
      </c>
    </row>
    <row r="32" spans="2:3" x14ac:dyDescent="0.4">
      <c r="C32" t="s">
        <v>86</v>
      </c>
    </row>
    <row r="33" spans="2:3" x14ac:dyDescent="0.4">
      <c r="C33" t="s">
        <v>87</v>
      </c>
    </row>
    <row r="34" spans="2:3" x14ac:dyDescent="0.4">
      <c r="B34" s="5" t="s">
        <v>88</v>
      </c>
    </row>
    <row r="35" spans="2:3" x14ac:dyDescent="0.4">
      <c r="C35" t="s">
        <v>89</v>
      </c>
    </row>
    <row r="36" spans="2:3" x14ac:dyDescent="0.4">
      <c r="C36" t="s">
        <v>90</v>
      </c>
    </row>
    <row r="37" spans="2:3" x14ac:dyDescent="0.4">
      <c r="C37" t="s">
        <v>91</v>
      </c>
    </row>
    <row r="38" spans="2:3" x14ac:dyDescent="0.4">
      <c r="C38" t="s">
        <v>92</v>
      </c>
    </row>
    <row r="39" spans="2:3" x14ac:dyDescent="0.4">
      <c r="C39" t="s">
        <v>93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23959-C221-4B90-8E9B-4D3BD02D35CB}">
  <sheetPr codeName="Feuil5"/>
  <dimension ref="A1:M41"/>
  <sheetViews>
    <sheetView showGridLines="0" workbookViewId="0">
      <selection activeCell="H10" sqref="H10"/>
    </sheetView>
  </sheetViews>
  <sheetFormatPr baseColWidth="10" defaultRowHeight="14.6" x14ac:dyDescent="0.4"/>
  <cols>
    <col min="1" max="1" width="3.07421875" style="12" customWidth="1"/>
    <col min="2" max="2" width="4.53515625" style="13" customWidth="1"/>
    <col min="3" max="3" width="21.15234375" style="12" customWidth="1"/>
    <col min="4" max="4" width="43.921875" style="12" customWidth="1"/>
    <col min="5" max="5" width="19" style="12" customWidth="1"/>
    <col min="6" max="6" width="1.921875" style="14" customWidth="1"/>
    <col min="7" max="9" width="5.15234375" style="12" customWidth="1"/>
    <col min="10" max="12" width="13.53515625" style="12" customWidth="1"/>
    <col min="13" max="13" width="11.07421875" style="12"/>
    <col min="14" max="14" width="2.69140625" style="12" customWidth="1"/>
    <col min="15" max="16384" width="11.07421875" style="12"/>
  </cols>
  <sheetData>
    <row r="1" spans="1:13" x14ac:dyDescent="0.4">
      <c r="A1" s="12" t="s">
        <v>109</v>
      </c>
      <c r="M1" s="6" t="s">
        <v>107</v>
      </c>
    </row>
    <row r="2" spans="1:13" x14ac:dyDescent="0.4">
      <c r="M2" s="6" t="s">
        <v>108</v>
      </c>
    </row>
    <row r="3" spans="1:13" x14ac:dyDescent="0.4">
      <c r="M3" s="15" t="str" cm="1">
        <f t="array" aca="1" ref="M3" ca="1">chemin()</f>
        <v>C:\mes_dossiers_synchronises\gestion_budget_colocs_v1\documentation</v>
      </c>
    </row>
    <row r="4" spans="1:13" x14ac:dyDescent="0.4">
      <c r="E4" s="13" t="s">
        <v>140</v>
      </c>
    </row>
    <row r="5" spans="1:13" ht="18" x14ac:dyDescent="0.4">
      <c r="B5" s="11" t="s">
        <v>146</v>
      </c>
      <c r="E5" s="12" t="s">
        <v>141</v>
      </c>
    </row>
    <row r="6" spans="1:13" x14ac:dyDescent="0.4">
      <c r="B6" s="12" t="s">
        <v>116</v>
      </c>
      <c r="D6" s="16" t="s">
        <v>114</v>
      </c>
      <c r="E6" s="16"/>
      <c r="G6" s="16"/>
      <c r="H6" s="16"/>
      <c r="I6" s="16"/>
      <c r="J6" s="16"/>
      <c r="K6" s="16"/>
      <c r="L6" s="16"/>
    </row>
    <row r="7" spans="1:13" x14ac:dyDescent="0.4">
      <c r="B7" s="12" t="s">
        <v>117</v>
      </c>
      <c r="K7" s="17"/>
    </row>
    <row r="8" spans="1:13" x14ac:dyDescent="0.4">
      <c r="B8" s="12" t="s">
        <v>118</v>
      </c>
      <c r="K8" s="17"/>
    </row>
    <row r="9" spans="1:13" x14ac:dyDescent="0.4">
      <c r="K9" s="17"/>
    </row>
    <row r="10" spans="1:13" ht="18" x14ac:dyDescent="0.4">
      <c r="B10" s="11" t="s">
        <v>110</v>
      </c>
      <c r="C10" s="9"/>
      <c r="E10" s="12" t="s">
        <v>142</v>
      </c>
    </row>
    <row r="11" spans="1:13" x14ac:dyDescent="0.4">
      <c r="B11" s="19" t="s">
        <v>119</v>
      </c>
      <c r="D11" s="16" t="s">
        <v>111</v>
      </c>
      <c r="E11" s="16"/>
      <c r="G11" s="18"/>
      <c r="H11" s="18"/>
      <c r="I11" s="18"/>
      <c r="J11" s="16"/>
      <c r="K11" s="16"/>
      <c r="L11" s="16"/>
    </row>
    <row r="12" spans="1:13" x14ac:dyDescent="0.4">
      <c r="B12" s="19" t="s">
        <v>120</v>
      </c>
      <c r="D12" s="16" t="s">
        <v>112</v>
      </c>
      <c r="E12" s="16"/>
      <c r="G12" s="18"/>
      <c r="H12" s="18"/>
      <c r="I12" s="18"/>
      <c r="J12" s="16"/>
      <c r="K12" s="16"/>
      <c r="L12" s="16"/>
    </row>
    <row r="13" spans="1:13" x14ac:dyDescent="0.4">
      <c r="B13" s="19" t="s">
        <v>121</v>
      </c>
      <c r="D13" s="16" t="s">
        <v>113</v>
      </c>
      <c r="E13" s="16"/>
      <c r="G13" s="18"/>
      <c r="H13" s="18"/>
      <c r="I13" s="18"/>
      <c r="J13" s="16"/>
      <c r="K13" s="16"/>
      <c r="L13" s="16"/>
    </row>
    <row r="14" spans="1:13" x14ac:dyDescent="0.4">
      <c r="B14" s="19" t="s">
        <v>122</v>
      </c>
      <c r="D14" s="16"/>
      <c r="E14" s="16"/>
      <c r="G14" s="18"/>
      <c r="H14" s="18"/>
      <c r="I14" s="18"/>
      <c r="J14" s="16"/>
      <c r="K14" s="16"/>
      <c r="L14" s="16"/>
    </row>
    <row r="15" spans="1:13" x14ac:dyDescent="0.4">
      <c r="B15" s="10"/>
      <c r="G15" s="18"/>
      <c r="H15" s="18"/>
      <c r="I15" s="18"/>
    </row>
    <row r="16" spans="1:13" ht="18" x14ac:dyDescent="0.4">
      <c r="B16" s="11" t="s">
        <v>144</v>
      </c>
      <c r="E16" s="12" t="s">
        <v>141</v>
      </c>
    </row>
    <row r="17" spans="2:12" x14ac:dyDescent="0.4">
      <c r="B17" s="19" t="s">
        <v>123</v>
      </c>
      <c r="D17" s="16" t="s">
        <v>115</v>
      </c>
      <c r="E17" s="16"/>
    </row>
    <row r="18" spans="2:12" x14ac:dyDescent="0.4">
      <c r="B18" s="19" t="s">
        <v>124</v>
      </c>
      <c r="D18" s="16"/>
      <c r="E18" s="16"/>
    </row>
    <row r="19" spans="2:12" x14ac:dyDescent="0.4">
      <c r="G19" s="18"/>
      <c r="H19" s="18"/>
      <c r="I19" s="18"/>
    </row>
    <row r="20" spans="2:12" ht="18" x14ac:dyDescent="0.4">
      <c r="B20" s="11" t="s">
        <v>145</v>
      </c>
      <c r="E20" s="12" t="s">
        <v>143</v>
      </c>
      <c r="G20" s="16"/>
      <c r="H20" s="16"/>
      <c r="I20" s="16"/>
      <c r="J20" s="16"/>
      <c r="K20" s="16"/>
      <c r="L20" s="16"/>
    </row>
    <row r="21" spans="2:12" x14ac:dyDescent="0.4">
      <c r="B21" s="19" t="s">
        <v>125</v>
      </c>
      <c r="D21" s="16" t="s">
        <v>114</v>
      </c>
      <c r="E21" s="16"/>
    </row>
    <row r="22" spans="2:12" x14ac:dyDescent="0.4">
      <c r="B22" s="19" t="s">
        <v>126</v>
      </c>
    </row>
    <row r="23" spans="2:12" x14ac:dyDescent="0.4">
      <c r="B23" s="19" t="s">
        <v>127</v>
      </c>
    </row>
    <row r="24" spans="2:12" x14ac:dyDescent="0.4">
      <c r="B24" s="19" t="s">
        <v>128</v>
      </c>
    </row>
    <row r="25" spans="2:12" x14ac:dyDescent="0.4">
      <c r="B25" s="19" t="s">
        <v>129</v>
      </c>
    </row>
    <row r="26" spans="2:12" x14ac:dyDescent="0.4">
      <c r="B26" s="19" t="s">
        <v>130</v>
      </c>
    </row>
    <row r="27" spans="2:12" x14ac:dyDescent="0.4">
      <c r="B27" s="19" t="s">
        <v>131</v>
      </c>
    </row>
    <row r="28" spans="2:12" x14ac:dyDescent="0.4">
      <c r="B28" s="19" t="s">
        <v>132</v>
      </c>
    </row>
    <row r="29" spans="2:12" x14ac:dyDescent="0.4">
      <c r="B29" s="19" t="s">
        <v>133</v>
      </c>
    </row>
    <row r="30" spans="2:12" x14ac:dyDescent="0.4">
      <c r="B30" s="19" t="s">
        <v>134</v>
      </c>
    </row>
    <row r="31" spans="2:12" x14ac:dyDescent="0.4">
      <c r="B31" s="19" t="s">
        <v>135</v>
      </c>
    </row>
    <row r="32" spans="2:12" x14ac:dyDescent="0.4">
      <c r="B32" s="10"/>
    </row>
    <row r="33" spans="2:3" ht="18" x14ac:dyDescent="0.4">
      <c r="B33" s="11" t="s">
        <v>147</v>
      </c>
    </row>
    <row r="34" spans="2:3" x14ac:dyDescent="0.4">
      <c r="B34" s="19" t="s">
        <v>136</v>
      </c>
      <c r="C34" s="19"/>
    </row>
    <row r="36" spans="2:3" ht="18" x14ac:dyDescent="0.4">
      <c r="B36" s="11" t="s">
        <v>148</v>
      </c>
    </row>
    <row r="37" spans="2:3" x14ac:dyDescent="0.4">
      <c r="B37" s="19" t="s">
        <v>137</v>
      </c>
    </row>
    <row r="38" spans="2:3" x14ac:dyDescent="0.4">
      <c r="B38" s="19" t="s">
        <v>138</v>
      </c>
    </row>
    <row r="39" spans="2:3" x14ac:dyDescent="0.4">
      <c r="B39" s="19"/>
    </row>
    <row r="40" spans="2:3" ht="18" x14ac:dyDescent="0.4">
      <c r="B40" s="11" t="s">
        <v>149</v>
      </c>
    </row>
    <row r="41" spans="2:3" x14ac:dyDescent="0.4">
      <c r="B41" s="19" t="s">
        <v>139</v>
      </c>
    </row>
  </sheetData>
  <phoneticPr fontId="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641EA-0CD4-4484-BDAB-1A57470E478E}">
  <sheetPr codeName="Feuil6"/>
  <dimension ref="A1:M21"/>
  <sheetViews>
    <sheetView showGridLines="0" workbookViewId="0">
      <selection activeCell="M1" sqref="M1:O1048576"/>
    </sheetView>
  </sheetViews>
  <sheetFormatPr baseColWidth="10" defaultRowHeight="14.6" x14ac:dyDescent="0.4"/>
  <cols>
    <col min="1" max="1" width="2.07421875" style="12" customWidth="1"/>
    <col min="2" max="2" width="30.07421875" style="12" customWidth="1"/>
    <col min="3" max="3" width="1.61328125" style="12" customWidth="1"/>
    <col min="4" max="4" width="24.84375" style="12" customWidth="1"/>
    <col min="5" max="5" width="2.3828125" style="12" customWidth="1"/>
    <col min="6" max="6" width="26.23046875" style="12" customWidth="1"/>
    <col min="7" max="7" width="1.3828125" style="12" customWidth="1"/>
    <col min="8" max="8" width="25.69140625" style="12" customWidth="1"/>
    <col min="9" max="9" width="1.765625" style="12" customWidth="1"/>
    <col min="10" max="10" width="26.765625" style="12" customWidth="1"/>
    <col min="11" max="11" width="1.4609375" style="12" customWidth="1"/>
    <col min="12" max="12" width="30.4609375" style="12" customWidth="1"/>
    <col min="13" max="13" width="11.07421875" style="12"/>
    <col min="14" max="14" width="2.69140625" style="12" customWidth="1"/>
    <col min="15" max="16384" width="11.07421875" style="12"/>
  </cols>
  <sheetData>
    <row r="1" spans="1:13" x14ac:dyDescent="0.4">
      <c r="A1" s="12" t="s">
        <v>152</v>
      </c>
      <c r="M1" s="6" t="s">
        <v>150</v>
      </c>
    </row>
    <row r="2" spans="1:13" x14ac:dyDescent="0.4">
      <c r="M2" s="6" t="s">
        <v>151</v>
      </c>
    </row>
    <row r="3" spans="1:13" x14ac:dyDescent="0.4">
      <c r="M3" s="15" t="str" cm="1">
        <f t="array" aca="1" ref="M3" ca="1">chemin()</f>
        <v>C:\mes_dossiers_synchronises\gestion_budget_colocs_v1\documentation</v>
      </c>
    </row>
    <row r="5" spans="1:13" s="20" customFormat="1" ht="10.75" x14ac:dyDescent="0.4">
      <c r="B5" s="20" t="s">
        <v>165</v>
      </c>
      <c r="D5" s="20" t="s">
        <v>168</v>
      </c>
      <c r="F5" s="20" t="s">
        <v>180</v>
      </c>
      <c r="H5" s="20" t="s">
        <v>191</v>
      </c>
      <c r="J5" s="20" t="s">
        <v>200</v>
      </c>
      <c r="L5" s="20" t="s">
        <v>207</v>
      </c>
    </row>
    <row r="6" spans="1:13" s="21" customFormat="1" ht="10.75" x14ac:dyDescent="0.4">
      <c r="B6" s="21" t="s">
        <v>153</v>
      </c>
      <c r="D6" s="21" t="s">
        <v>169</v>
      </c>
      <c r="F6" s="21" t="s">
        <v>181</v>
      </c>
      <c r="H6" s="21" t="s">
        <v>192</v>
      </c>
      <c r="J6" s="21" t="s">
        <v>201</v>
      </c>
      <c r="L6" s="21" t="s">
        <v>208</v>
      </c>
    </row>
    <row r="7" spans="1:13" s="21" customFormat="1" ht="10.75" x14ac:dyDescent="0.4">
      <c r="B7" s="21" t="s">
        <v>154</v>
      </c>
      <c r="D7" s="21" t="s">
        <v>170</v>
      </c>
      <c r="F7" s="21" t="s">
        <v>182</v>
      </c>
      <c r="H7" s="21" t="s">
        <v>193</v>
      </c>
      <c r="J7" s="21" t="s">
        <v>202</v>
      </c>
      <c r="L7" s="21" t="s">
        <v>209</v>
      </c>
    </row>
    <row r="8" spans="1:13" s="22" customFormat="1" ht="10.75" x14ac:dyDescent="0.4">
      <c r="B8" s="22" t="s">
        <v>155</v>
      </c>
      <c r="D8" s="22" t="s">
        <v>155</v>
      </c>
      <c r="F8" s="22" t="s">
        <v>155</v>
      </c>
      <c r="H8" s="22" t="s">
        <v>155</v>
      </c>
      <c r="J8" s="22" t="s">
        <v>155</v>
      </c>
    </row>
    <row r="9" spans="1:13" s="21" customFormat="1" ht="10.75" x14ac:dyDescent="0.4">
      <c r="B9" s="21" t="s">
        <v>156</v>
      </c>
      <c r="D9" s="21" t="s">
        <v>171</v>
      </c>
      <c r="F9" s="21" t="s">
        <v>183</v>
      </c>
      <c r="H9" s="21" t="s">
        <v>194</v>
      </c>
      <c r="J9" s="21" t="s">
        <v>203</v>
      </c>
    </row>
    <row r="10" spans="1:13" s="21" customFormat="1" ht="10.75" x14ac:dyDescent="0.4">
      <c r="B10" s="21" t="s">
        <v>157</v>
      </c>
      <c r="D10" s="21" t="s">
        <v>172</v>
      </c>
      <c r="F10" s="21" t="s">
        <v>184</v>
      </c>
      <c r="H10" s="21" t="s">
        <v>195</v>
      </c>
      <c r="J10" s="21" t="s">
        <v>204</v>
      </c>
    </row>
    <row r="11" spans="1:13" s="21" customFormat="1" ht="10.75" x14ac:dyDescent="0.4">
      <c r="B11" s="21" t="s">
        <v>158</v>
      </c>
      <c r="D11" s="21" t="s">
        <v>173</v>
      </c>
      <c r="F11" s="21" t="s">
        <v>185</v>
      </c>
      <c r="J11" s="21" t="s">
        <v>205</v>
      </c>
    </row>
    <row r="12" spans="1:13" s="21" customFormat="1" ht="10.75" x14ac:dyDescent="0.4">
      <c r="B12" s="21" t="s">
        <v>159</v>
      </c>
    </row>
    <row r="13" spans="1:13" s="21" customFormat="1" ht="10.75" x14ac:dyDescent="0.4"/>
    <row r="14" spans="1:13" s="22" customFormat="1" ht="10.75" x14ac:dyDescent="0.4">
      <c r="B14" s="22" t="s">
        <v>160</v>
      </c>
      <c r="D14" s="22" t="s">
        <v>160</v>
      </c>
      <c r="F14" s="22" t="s">
        <v>160</v>
      </c>
      <c r="H14" s="22" t="s">
        <v>160</v>
      </c>
      <c r="L14" s="22" t="s">
        <v>160</v>
      </c>
    </row>
    <row r="15" spans="1:13" s="21" customFormat="1" ht="10.75" x14ac:dyDescent="0.4">
      <c r="B15" s="21" t="s">
        <v>161</v>
      </c>
      <c r="D15" s="21" t="s">
        <v>174</v>
      </c>
      <c r="F15" s="21" t="s">
        <v>186</v>
      </c>
      <c r="H15" s="21" t="s">
        <v>196</v>
      </c>
      <c r="L15" s="21" t="s">
        <v>210</v>
      </c>
    </row>
    <row r="16" spans="1:13" s="21" customFormat="1" ht="10.75" x14ac:dyDescent="0.4">
      <c r="B16" s="21" t="s">
        <v>162</v>
      </c>
      <c r="D16" s="21" t="s">
        <v>175</v>
      </c>
      <c r="F16" s="21" t="s">
        <v>187</v>
      </c>
      <c r="H16" s="21" t="s">
        <v>197</v>
      </c>
      <c r="L16" s="21" t="s">
        <v>211</v>
      </c>
    </row>
    <row r="17" spans="2:12" s="21" customFormat="1" ht="10.75" x14ac:dyDescent="0.4">
      <c r="B17" s="21" t="s">
        <v>163</v>
      </c>
      <c r="D17" s="21" t="s">
        <v>176</v>
      </c>
      <c r="F17" s="21" t="s">
        <v>188</v>
      </c>
      <c r="H17" s="21" t="s">
        <v>198</v>
      </c>
      <c r="L17" s="21" t="s">
        <v>212</v>
      </c>
    </row>
    <row r="18" spans="2:12" s="21" customFormat="1" ht="10.75" x14ac:dyDescent="0.4">
      <c r="B18" s="21" t="s">
        <v>164</v>
      </c>
      <c r="D18" s="21" t="s">
        <v>177</v>
      </c>
    </row>
    <row r="19" spans="2:12" s="21" customFormat="1" ht="10.75" x14ac:dyDescent="0.4"/>
    <row r="20" spans="2:12" s="22" customFormat="1" ht="10.75" x14ac:dyDescent="0.4">
      <c r="B20" s="22" t="s">
        <v>167</v>
      </c>
      <c r="D20" s="22" t="s">
        <v>178</v>
      </c>
      <c r="F20" s="22" t="s">
        <v>189</v>
      </c>
      <c r="H20" s="22" t="s">
        <v>189</v>
      </c>
      <c r="J20" s="22" t="s">
        <v>189</v>
      </c>
      <c r="L20" s="22" t="s">
        <v>189</v>
      </c>
    </row>
    <row r="21" spans="2:12" s="21" customFormat="1" ht="10.75" x14ac:dyDescent="0.4">
      <c r="B21" s="21" t="s">
        <v>166</v>
      </c>
      <c r="D21" s="21" t="s">
        <v>179</v>
      </c>
      <c r="F21" s="21" t="s">
        <v>190</v>
      </c>
      <c r="H21" s="21" t="s">
        <v>199</v>
      </c>
      <c r="J21" s="21" t="s">
        <v>206</v>
      </c>
      <c r="L21" s="21" t="s">
        <v>213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8492F-D193-4B6B-BA61-E4CBD8D68681}">
  <sheetPr codeName="Feuil7"/>
  <dimension ref="A1:Y83"/>
  <sheetViews>
    <sheetView showGridLines="0" tabSelected="1" workbookViewId="0">
      <pane xSplit="1" ySplit="8" topLeftCell="E9" activePane="bottomRight" state="frozen"/>
      <selection pane="topRight" activeCell="B1" sqref="B1"/>
      <selection pane="bottomLeft" activeCell="A9" sqref="A9"/>
      <selection pane="bottomRight" activeCell="Y1" sqref="Y1:Y1048576"/>
    </sheetView>
  </sheetViews>
  <sheetFormatPr baseColWidth="10" defaultColWidth="9.23046875" defaultRowHeight="14.6" x14ac:dyDescent="0.4"/>
  <cols>
    <col min="1" max="1" width="2.3046875" customWidth="1"/>
    <col min="2" max="2" width="2.765625" customWidth="1"/>
    <col min="3" max="3" width="58.84375" customWidth="1"/>
    <col min="4" max="5" width="26.3828125" bestFit="1" customWidth="1"/>
    <col min="6" max="6" width="1.07421875" customWidth="1"/>
    <col min="7" max="7" width="55" customWidth="1"/>
    <col min="8" max="8" width="2.61328125" customWidth="1"/>
    <col min="9" max="12" width="4.61328125" customWidth="1"/>
    <col min="14" max="14" width="1.53515625" customWidth="1"/>
    <col min="15" max="15" width="1.765625" style="32" customWidth="1"/>
    <col min="17" max="18" width="2.921875" customWidth="1"/>
    <col min="19" max="19" width="74.765625" customWidth="1"/>
    <col min="20" max="20" width="7.23046875" customWidth="1"/>
    <col min="21" max="21" width="2.69140625" customWidth="1"/>
    <col min="22" max="22" width="7.3828125" customWidth="1"/>
    <col min="23" max="23" width="7.69140625" customWidth="1"/>
    <col min="24" max="24" width="10.84375" customWidth="1"/>
    <col min="25" max="25" width="22.15234375" customWidth="1"/>
  </cols>
  <sheetData>
    <row r="1" spans="1:19" x14ac:dyDescent="0.4">
      <c r="A1" t="s">
        <v>321</v>
      </c>
      <c r="H1" s="6" t="s">
        <v>214</v>
      </c>
    </row>
    <row r="2" spans="1:19" x14ac:dyDescent="0.4">
      <c r="H2" s="6" t="s">
        <v>300</v>
      </c>
    </row>
    <row r="3" spans="1:19" x14ac:dyDescent="0.4">
      <c r="H3" s="7" t="str" cm="1">
        <f t="array" aca="1" ref="H3" ca="1">chemin()</f>
        <v>C:\mes_dossiers_synchronises\gestion_budget_colocs_v1\documentation</v>
      </c>
    </row>
    <row r="5" spans="1:19" x14ac:dyDescent="0.4">
      <c r="B5" s="26" t="s">
        <v>288</v>
      </c>
      <c r="C5" s="26"/>
    </row>
    <row r="6" spans="1:19" x14ac:dyDescent="0.4">
      <c r="B6" s="26" t="s">
        <v>297</v>
      </c>
      <c r="C6" s="26"/>
    </row>
    <row r="7" spans="1:19" x14ac:dyDescent="0.4">
      <c r="C7" t="s">
        <v>298</v>
      </c>
    </row>
    <row r="8" spans="1:19" x14ac:dyDescent="0.4">
      <c r="C8" t="s">
        <v>299</v>
      </c>
    </row>
    <row r="9" spans="1:19" x14ac:dyDescent="0.4">
      <c r="Q9" s="29" t="s">
        <v>320</v>
      </c>
      <c r="R9" s="30"/>
      <c r="S9" s="30"/>
    </row>
    <row r="10" spans="1:19" x14ac:dyDescent="0.4">
      <c r="B10" s="23" t="s">
        <v>276</v>
      </c>
      <c r="C10" s="23"/>
      <c r="Q10" s="30"/>
      <c r="R10" s="30" t="s">
        <v>316</v>
      </c>
      <c r="S10" s="30"/>
    </row>
    <row r="11" spans="1:19" x14ac:dyDescent="0.4">
      <c r="C11" t="s">
        <v>215</v>
      </c>
      <c r="Q11" s="30"/>
      <c r="R11" s="30"/>
      <c r="S11" s="30" t="s">
        <v>301</v>
      </c>
    </row>
    <row r="12" spans="1:19" x14ac:dyDescent="0.4">
      <c r="C12" t="s">
        <v>216</v>
      </c>
      <c r="Q12" s="30"/>
      <c r="R12" s="30"/>
      <c r="S12" s="30" t="s">
        <v>302</v>
      </c>
    </row>
    <row r="13" spans="1:19" x14ac:dyDescent="0.4">
      <c r="C13" t="s">
        <v>217</v>
      </c>
      <c r="Q13" s="30"/>
      <c r="R13" s="30"/>
      <c r="S13" s="30"/>
    </row>
    <row r="14" spans="1:19" x14ac:dyDescent="0.4">
      <c r="C14" t="s">
        <v>218</v>
      </c>
      <c r="Q14" s="30"/>
      <c r="R14" s="30" t="s">
        <v>317</v>
      </c>
      <c r="S14" s="30"/>
    </row>
    <row r="15" spans="1:19" x14ac:dyDescent="0.4">
      <c r="C15" t="s">
        <v>219</v>
      </c>
      <c r="Q15" s="30"/>
      <c r="R15" s="30"/>
      <c r="S15" s="30" t="s">
        <v>303</v>
      </c>
    </row>
    <row r="16" spans="1:19" x14ac:dyDescent="0.4">
      <c r="C16" t="s">
        <v>220</v>
      </c>
      <c r="Q16" s="30"/>
      <c r="R16" s="30"/>
      <c r="S16" s="30" t="s">
        <v>304</v>
      </c>
    </row>
    <row r="17" spans="2:19" x14ac:dyDescent="0.4">
      <c r="Q17" s="30"/>
      <c r="R17" s="30"/>
      <c r="S17" s="30"/>
    </row>
    <row r="18" spans="2:19" x14ac:dyDescent="0.4">
      <c r="B18" s="23" t="s">
        <v>221</v>
      </c>
      <c r="C18" s="23"/>
      <c r="Q18" s="30"/>
      <c r="R18" s="30" t="s">
        <v>318</v>
      </c>
      <c r="S18" s="30"/>
    </row>
    <row r="19" spans="2:19" x14ac:dyDescent="0.4">
      <c r="C19" t="s">
        <v>222</v>
      </c>
      <c r="Q19" s="30"/>
      <c r="R19" s="30"/>
      <c r="S19" s="30" t="s">
        <v>305</v>
      </c>
    </row>
    <row r="20" spans="2:19" x14ac:dyDescent="0.4">
      <c r="C20" t="s">
        <v>223</v>
      </c>
      <c r="Q20" s="30"/>
      <c r="R20" s="30"/>
      <c r="S20" s="30" t="s">
        <v>306</v>
      </c>
    </row>
    <row r="21" spans="2:19" x14ac:dyDescent="0.4">
      <c r="C21" t="s">
        <v>224</v>
      </c>
      <c r="Q21" s="30"/>
      <c r="R21" s="30"/>
      <c r="S21" s="30"/>
    </row>
    <row r="22" spans="2:19" x14ac:dyDescent="0.4">
      <c r="C22" t="s">
        <v>225</v>
      </c>
      <c r="Q22" s="30"/>
      <c r="R22" s="30" t="s">
        <v>319</v>
      </c>
      <c r="S22" s="30"/>
    </row>
    <row r="23" spans="2:19" x14ac:dyDescent="0.4">
      <c r="C23" t="s">
        <v>226</v>
      </c>
      <c r="Q23" s="30"/>
      <c r="R23" s="30"/>
      <c r="S23" s="30" t="s">
        <v>307</v>
      </c>
    </row>
    <row r="24" spans="2:19" x14ac:dyDescent="0.4">
      <c r="Q24" s="30"/>
      <c r="R24" s="30"/>
      <c r="S24" s="30" t="s">
        <v>308</v>
      </c>
    </row>
    <row r="25" spans="2:19" x14ac:dyDescent="0.4">
      <c r="B25" s="23" t="s">
        <v>227</v>
      </c>
      <c r="C25" s="23"/>
      <c r="Q25" s="30"/>
      <c r="R25" s="30"/>
      <c r="S25" s="30"/>
    </row>
    <row r="26" spans="2:19" x14ac:dyDescent="0.4">
      <c r="C26" t="s">
        <v>228</v>
      </c>
      <c r="Q26" s="30"/>
      <c r="R26" s="31" t="s">
        <v>309</v>
      </c>
      <c r="S26" s="30"/>
    </row>
    <row r="27" spans="2:19" x14ac:dyDescent="0.4">
      <c r="C27" t="s">
        <v>229</v>
      </c>
      <c r="Q27" s="30"/>
      <c r="R27" s="30"/>
      <c r="S27" s="30" t="s">
        <v>310</v>
      </c>
    </row>
    <row r="28" spans="2:19" x14ac:dyDescent="0.4">
      <c r="C28" t="s">
        <v>230</v>
      </c>
      <c r="Q28" s="30"/>
      <c r="R28" s="30"/>
      <c r="S28" s="30" t="s">
        <v>311</v>
      </c>
    </row>
    <row r="29" spans="2:19" x14ac:dyDescent="0.4">
      <c r="Q29" s="30"/>
      <c r="R29" s="30"/>
      <c r="S29" s="30" t="s">
        <v>312</v>
      </c>
    </row>
    <row r="30" spans="2:19" x14ac:dyDescent="0.4">
      <c r="B30" s="23" t="s">
        <v>231</v>
      </c>
      <c r="C30" s="23"/>
      <c r="Q30" s="30"/>
      <c r="R30" s="30"/>
      <c r="S30" s="30" t="s">
        <v>313</v>
      </c>
    </row>
    <row r="31" spans="2:19" x14ac:dyDescent="0.4">
      <c r="C31" t="s">
        <v>232</v>
      </c>
      <c r="Q31" s="30"/>
      <c r="R31" s="30"/>
      <c r="S31" s="30" t="s">
        <v>314</v>
      </c>
    </row>
    <row r="32" spans="2:19" x14ac:dyDescent="0.4">
      <c r="C32" t="s">
        <v>233</v>
      </c>
      <c r="Q32" s="30"/>
      <c r="R32" s="30"/>
      <c r="S32" s="30" t="s">
        <v>315</v>
      </c>
    </row>
    <row r="33" spans="2:25" x14ac:dyDescent="0.4">
      <c r="C33" t="s">
        <v>234</v>
      </c>
    </row>
    <row r="34" spans="2:25" x14ac:dyDescent="0.4">
      <c r="C34" t="s">
        <v>235</v>
      </c>
      <c r="U34" s="41" t="s">
        <v>342</v>
      </c>
      <c r="V34" s="41"/>
      <c r="W34" s="41"/>
      <c r="X34" s="41"/>
      <c r="Y34" s="36"/>
    </row>
    <row r="35" spans="2:25" x14ac:dyDescent="0.4">
      <c r="C35" t="s">
        <v>236</v>
      </c>
      <c r="U35" s="36"/>
      <c r="V35" s="36"/>
      <c r="W35" s="36"/>
      <c r="X35" s="36"/>
      <c r="Y35" s="36"/>
    </row>
    <row r="36" spans="2:25" x14ac:dyDescent="0.4">
      <c r="C36" t="s">
        <v>237</v>
      </c>
      <c r="U36" s="42" t="s">
        <v>343</v>
      </c>
      <c r="V36" s="42"/>
      <c r="W36" s="42"/>
      <c r="X36" s="42"/>
      <c r="Y36" s="36"/>
    </row>
    <row r="37" spans="2:25" x14ac:dyDescent="0.4">
      <c r="C37" t="s">
        <v>238</v>
      </c>
      <c r="U37" s="36"/>
      <c r="V37" s="36"/>
      <c r="W37" s="36"/>
      <c r="X37" s="36"/>
      <c r="Y37" s="36"/>
    </row>
    <row r="38" spans="2:25" x14ac:dyDescent="0.4">
      <c r="C38" t="s">
        <v>239</v>
      </c>
      <c r="D38" s="33" t="s">
        <v>295</v>
      </c>
      <c r="E38" s="34"/>
      <c r="U38" s="36"/>
      <c r="V38" s="36" t="s">
        <v>344</v>
      </c>
      <c r="W38" s="36"/>
      <c r="X38" s="36"/>
      <c r="Y38" s="36"/>
    </row>
    <row r="39" spans="2:25" x14ac:dyDescent="0.4">
      <c r="C39" t="s">
        <v>240</v>
      </c>
      <c r="D39" s="28" t="s">
        <v>285</v>
      </c>
      <c r="E39" s="28" t="s">
        <v>284</v>
      </c>
      <c r="U39" s="36"/>
      <c r="V39" s="36" t="s">
        <v>345</v>
      </c>
      <c r="W39" s="36"/>
      <c r="X39" s="36"/>
      <c r="Y39" s="36"/>
    </row>
    <row r="40" spans="2:25" x14ac:dyDescent="0.4">
      <c r="C40" t="s">
        <v>241</v>
      </c>
      <c r="D40" s="27"/>
      <c r="E40" s="24" t="s">
        <v>291</v>
      </c>
      <c r="G40" s="25" t="s">
        <v>292</v>
      </c>
      <c r="U40" s="36"/>
      <c r="V40" s="36"/>
      <c r="W40" s="36"/>
      <c r="X40" s="36"/>
      <c r="Y40" s="36"/>
    </row>
    <row r="41" spans="2:25" x14ac:dyDescent="0.4">
      <c r="C41" t="s">
        <v>242</v>
      </c>
      <c r="G41" s="25" t="s">
        <v>293</v>
      </c>
      <c r="U41" s="36"/>
      <c r="V41" s="36" t="s">
        <v>346</v>
      </c>
      <c r="W41" s="36"/>
      <c r="X41" s="36"/>
      <c r="Y41" s="36"/>
    </row>
    <row r="42" spans="2:25" x14ac:dyDescent="0.4">
      <c r="C42" t="s">
        <v>243</v>
      </c>
      <c r="G42" s="25" t="s">
        <v>294</v>
      </c>
      <c r="U42" s="36"/>
      <c r="V42" s="36"/>
      <c r="W42" s="36"/>
      <c r="X42" s="36"/>
      <c r="Y42" s="36"/>
    </row>
    <row r="43" spans="2:25" x14ac:dyDescent="0.4">
      <c r="U43" s="36"/>
      <c r="V43" s="36" t="s">
        <v>347</v>
      </c>
      <c r="W43" s="36"/>
      <c r="X43" s="36"/>
      <c r="Y43" s="36"/>
    </row>
    <row r="44" spans="2:25" x14ac:dyDescent="0.4">
      <c r="B44" s="23" t="s">
        <v>244</v>
      </c>
      <c r="C44" s="23"/>
      <c r="D44" s="33" t="s">
        <v>336</v>
      </c>
      <c r="E44" s="34"/>
      <c r="U44" s="36"/>
      <c r="V44" s="36"/>
      <c r="W44" s="36"/>
      <c r="X44" s="36"/>
      <c r="Y44" s="36"/>
    </row>
    <row r="45" spans="2:25" x14ac:dyDescent="0.4">
      <c r="C45" t="s">
        <v>245</v>
      </c>
      <c r="D45" s="28" t="s">
        <v>285</v>
      </c>
      <c r="E45" s="28" t="s">
        <v>284</v>
      </c>
      <c r="U45" s="36"/>
      <c r="V45" s="40" t="s">
        <v>348</v>
      </c>
      <c r="W45" s="40" t="s">
        <v>349</v>
      </c>
      <c r="X45" s="40" t="s">
        <v>350</v>
      </c>
      <c r="Y45" s="40" t="s">
        <v>351</v>
      </c>
    </row>
    <row r="46" spans="2:25" x14ac:dyDescent="0.4">
      <c r="C46" t="s">
        <v>9</v>
      </c>
      <c r="D46" s="24" t="s">
        <v>337</v>
      </c>
      <c r="E46" s="24" t="s">
        <v>338</v>
      </c>
      <c r="G46" s="25" t="s">
        <v>339</v>
      </c>
      <c r="U46" s="36"/>
      <c r="V46" s="37" t="s">
        <v>49</v>
      </c>
      <c r="W46" s="43" t="s">
        <v>352</v>
      </c>
      <c r="X46" s="37" t="s">
        <v>353</v>
      </c>
      <c r="Y46" s="37" t="s">
        <v>354</v>
      </c>
    </row>
    <row r="47" spans="2:25" x14ac:dyDescent="0.4">
      <c r="C47" t="s">
        <v>246</v>
      </c>
      <c r="D47" s="35" t="s">
        <v>340</v>
      </c>
      <c r="E47" s="35" t="s">
        <v>341</v>
      </c>
      <c r="U47" s="36"/>
      <c r="V47" s="38" t="s">
        <v>35</v>
      </c>
      <c r="W47" s="44" t="s">
        <v>362</v>
      </c>
      <c r="X47" s="38" t="s">
        <v>353</v>
      </c>
      <c r="Y47" s="38" t="s">
        <v>354</v>
      </c>
    </row>
    <row r="48" spans="2:25" x14ac:dyDescent="0.4">
      <c r="C48" t="s">
        <v>247</v>
      </c>
      <c r="U48" s="36"/>
      <c r="V48" s="38" t="s">
        <v>46</v>
      </c>
      <c r="W48" s="45" t="s">
        <v>355</v>
      </c>
      <c r="X48" s="38" t="s">
        <v>356</v>
      </c>
      <c r="Y48" s="38" t="s">
        <v>357</v>
      </c>
    </row>
    <row r="49" spans="2:25" x14ac:dyDescent="0.4">
      <c r="U49" s="36"/>
      <c r="V49" s="39" t="s">
        <v>358</v>
      </c>
      <c r="W49" s="46" t="s">
        <v>363</v>
      </c>
      <c r="X49" s="39" t="s">
        <v>356</v>
      </c>
      <c r="Y49" s="39" t="s">
        <v>357</v>
      </c>
    </row>
    <row r="50" spans="2:25" x14ac:dyDescent="0.4">
      <c r="B50" s="23" t="s">
        <v>248</v>
      </c>
      <c r="C50" s="23"/>
      <c r="D50" s="33" t="s">
        <v>296</v>
      </c>
      <c r="E50" s="34"/>
      <c r="U50" s="36"/>
      <c r="V50" s="36"/>
      <c r="W50" s="36"/>
      <c r="X50" s="36"/>
      <c r="Y50" s="36"/>
    </row>
    <row r="51" spans="2:25" x14ac:dyDescent="0.4">
      <c r="C51" t="s">
        <v>249</v>
      </c>
      <c r="D51" s="28" t="s">
        <v>285</v>
      </c>
      <c r="E51" s="28" t="s">
        <v>284</v>
      </c>
      <c r="U51" s="36"/>
      <c r="V51" s="36" t="s">
        <v>359</v>
      </c>
      <c r="W51" s="36"/>
      <c r="X51" s="36"/>
      <c r="Y51" s="36"/>
    </row>
    <row r="52" spans="2:25" x14ac:dyDescent="0.4">
      <c r="C52" t="s">
        <v>250</v>
      </c>
      <c r="D52" s="27" t="s">
        <v>287</v>
      </c>
      <c r="E52" s="27" t="s">
        <v>290</v>
      </c>
      <c r="U52" s="36"/>
      <c r="V52" s="36"/>
      <c r="W52" s="36"/>
      <c r="X52" s="36"/>
      <c r="Y52" s="36"/>
    </row>
    <row r="53" spans="2:25" x14ac:dyDescent="0.4">
      <c r="C53" t="s">
        <v>251</v>
      </c>
      <c r="E53" t="s">
        <v>289</v>
      </c>
      <c r="U53" s="36"/>
      <c r="V53" s="36" t="s">
        <v>360</v>
      </c>
      <c r="W53" s="36" t="s">
        <v>361</v>
      </c>
      <c r="X53" s="36"/>
      <c r="Y53" s="36"/>
    </row>
    <row r="54" spans="2:25" x14ac:dyDescent="0.4">
      <c r="C54" t="s">
        <v>252</v>
      </c>
      <c r="U54" s="36"/>
      <c r="V54" s="36" t="s">
        <v>353</v>
      </c>
      <c r="W54" s="36" t="s">
        <v>285</v>
      </c>
      <c r="X54" s="36"/>
      <c r="Y54" s="36"/>
    </row>
    <row r="55" spans="2:25" x14ac:dyDescent="0.4">
      <c r="C55" t="s">
        <v>253</v>
      </c>
      <c r="U55" s="36"/>
      <c r="V55" s="36" t="s">
        <v>356</v>
      </c>
      <c r="W55" s="36" t="s">
        <v>284</v>
      </c>
      <c r="X55" s="36"/>
      <c r="Y55" s="36"/>
    </row>
    <row r="56" spans="2:25" x14ac:dyDescent="0.4">
      <c r="C56" t="s">
        <v>254</v>
      </c>
    </row>
    <row r="57" spans="2:25" x14ac:dyDescent="0.4">
      <c r="C57" t="s">
        <v>242</v>
      </c>
    </row>
    <row r="58" spans="2:25" x14ac:dyDescent="0.4">
      <c r="C58" t="s">
        <v>255</v>
      </c>
    </row>
    <row r="60" spans="2:25" x14ac:dyDescent="0.4">
      <c r="B60" s="23" t="s">
        <v>256</v>
      </c>
      <c r="C60" s="23"/>
    </row>
    <row r="61" spans="2:25" x14ac:dyDescent="0.4">
      <c r="C61" t="s">
        <v>257</v>
      </c>
    </row>
    <row r="62" spans="2:25" x14ac:dyDescent="0.4">
      <c r="C62" t="s">
        <v>258</v>
      </c>
    </row>
    <row r="63" spans="2:25" x14ac:dyDescent="0.4">
      <c r="C63" t="s">
        <v>259</v>
      </c>
    </row>
    <row r="65" spans="2:3" x14ac:dyDescent="0.4">
      <c r="B65" s="23" t="s">
        <v>260</v>
      </c>
      <c r="C65" s="23"/>
    </row>
    <row r="66" spans="2:3" x14ac:dyDescent="0.4">
      <c r="C66" t="s">
        <v>261</v>
      </c>
    </row>
    <row r="67" spans="2:3" x14ac:dyDescent="0.4">
      <c r="C67" t="s">
        <v>262</v>
      </c>
    </row>
    <row r="68" spans="2:3" x14ac:dyDescent="0.4">
      <c r="C68" t="s">
        <v>263</v>
      </c>
    </row>
    <row r="69" spans="2:3" x14ac:dyDescent="0.4">
      <c r="C69" t="s">
        <v>264</v>
      </c>
    </row>
    <row r="70" spans="2:3" x14ac:dyDescent="0.4">
      <c r="C70" t="s">
        <v>258</v>
      </c>
    </row>
    <row r="71" spans="2:3" x14ac:dyDescent="0.4">
      <c r="C71" t="s">
        <v>265</v>
      </c>
    </row>
    <row r="73" spans="2:3" x14ac:dyDescent="0.4">
      <c r="B73" s="23" t="s">
        <v>266</v>
      </c>
    </row>
    <row r="74" spans="2:3" x14ac:dyDescent="0.4">
      <c r="C74" t="s">
        <v>267</v>
      </c>
    </row>
    <row r="75" spans="2:3" x14ac:dyDescent="0.4">
      <c r="C75" t="s">
        <v>268</v>
      </c>
    </row>
    <row r="76" spans="2:3" x14ac:dyDescent="0.4">
      <c r="C76" t="s">
        <v>269</v>
      </c>
    </row>
    <row r="77" spans="2:3" x14ac:dyDescent="0.4">
      <c r="C77" t="s">
        <v>270</v>
      </c>
    </row>
    <row r="78" spans="2:3" x14ac:dyDescent="0.4">
      <c r="C78" t="s">
        <v>271</v>
      </c>
    </row>
    <row r="80" spans="2:3" x14ac:dyDescent="0.4">
      <c r="B80" s="23" t="s">
        <v>272</v>
      </c>
    </row>
    <row r="81" spans="3:3" x14ac:dyDescent="0.4">
      <c r="C81" t="s">
        <v>273</v>
      </c>
    </row>
    <row r="82" spans="3:3" x14ac:dyDescent="0.4">
      <c r="C82" t="s">
        <v>274</v>
      </c>
    </row>
    <row r="83" spans="3:3" x14ac:dyDescent="0.4">
      <c r="C83" t="s">
        <v>275</v>
      </c>
    </row>
  </sheetData>
  <mergeCells count="3">
    <mergeCell ref="D50:E50"/>
    <mergeCell ref="D38:E38"/>
    <mergeCell ref="D44:E44"/>
  </mergeCells>
  <pageMargins left="0.15748031496062992" right="0.15748031496062992" top="0.23622047244094491" bottom="0.27559055118110237" header="0.15748031496062992" footer="0.15748031496062992"/>
  <pageSetup paperSize="9" scale="75" orientation="landscape" verticalDpi="0" r:id="rId1"/>
  <rowBreaks count="1" manualBreakCount="1">
    <brk id="49" max="16383" man="1"/>
  </rowBreaks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BE2D8-54F6-4923-8B3D-C90452EF54A8}">
  <dimension ref="A1:K11"/>
  <sheetViews>
    <sheetView workbookViewId="0">
      <selection activeCell="M13" sqref="M13"/>
    </sheetView>
  </sheetViews>
  <sheetFormatPr baseColWidth="10" defaultRowHeight="14.6" x14ac:dyDescent="0.4"/>
  <sheetData>
    <row r="1" spans="1:11" x14ac:dyDescent="0.4">
      <c r="A1" t="s">
        <v>322</v>
      </c>
      <c r="K1" t="s">
        <v>322</v>
      </c>
    </row>
    <row r="2" spans="1:11" x14ac:dyDescent="0.4">
      <c r="A2" t="s">
        <v>323</v>
      </c>
      <c r="K2" t="s">
        <v>324</v>
      </c>
    </row>
    <row r="3" spans="1:11" x14ac:dyDescent="0.4">
      <c r="A3" t="s">
        <v>324</v>
      </c>
      <c r="K3" t="s">
        <v>333</v>
      </c>
    </row>
    <row r="4" spans="1:11" x14ac:dyDescent="0.4">
      <c r="A4" t="s">
        <v>325</v>
      </c>
      <c r="K4" t="s">
        <v>325</v>
      </c>
    </row>
    <row r="5" spans="1:11" x14ac:dyDescent="0.4">
      <c r="A5" t="s">
        <v>326</v>
      </c>
      <c r="K5" t="s">
        <v>326</v>
      </c>
    </row>
    <row r="6" spans="1:11" x14ac:dyDescent="0.4">
      <c r="A6" t="s">
        <v>327</v>
      </c>
      <c r="K6" t="s">
        <v>334</v>
      </c>
    </row>
    <row r="7" spans="1:11" x14ac:dyDescent="0.4">
      <c r="A7" t="s">
        <v>328</v>
      </c>
      <c r="K7" t="s">
        <v>323</v>
      </c>
    </row>
    <row r="8" spans="1:11" x14ac:dyDescent="0.4">
      <c r="A8" t="s">
        <v>329</v>
      </c>
      <c r="K8" t="s">
        <v>329</v>
      </c>
    </row>
    <row r="9" spans="1:11" x14ac:dyDescent="0.4">
      <c r="A9" t="s">
        <v>330</v>
      </c>
      <c r="K9" t="s">
        <v>335</v>
      </c>
    </row>
    <row r="10" spans="1:11" x14ac:dyDescent="0.4">
      <c r="A10" t="s">
        <v>331</v>
      </c>
      <c r="K10" t="s">
        <v>331</v>
      </c>
    </row>
    <row r="11" spans="1:11" x14ac:dyDescent="0.4">
      <c r="A11" t="s">
        <v>332</v>
      </c>
      <c r="K11" t="s">
        <v>332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A294-AE03-4308-B53D-D4AD746B21CC}">
  <sheetPr codeName="Feuil8"/>
  <dimension ref="A1:G10"/>
  <sheetViews>
    <sheetView showGridLines="0" workbookViewId="0">
      <selection activeCell="A7" sqref="A7:XFD7"/>
    </sheetView>
  </sheetViews>
  <sheetFormatPr baseColWidth="10" defaultColWidth="9.23046875" defaultRowHeight="14.6" x14ac:dyDescent="0.4"/>
  <cols>
    <col min="1" max="1" width="2.23046875" customWidth="1"/>
    <col min="2" max="4" width="2.15234375" customWidth="1"/>
    <col min="5" max="5" width="31.61328125" bestFit="1" customWidth="1"/>
    <col min="6" max="6" width="14.765625" bestFit="1" customWidth="1"/>
    <col min="7" max="11" width="4.61328125" customWidth="1"/>
  </cols>
  <sheetData>
    <row r="1" spans="1:7" x14ac:dyDescent="0.4">
      <c r="A1" t="s">
        <v>279</v>
      </c>
      <c r="G1" s="6" t="s">
        <v>277</v>
      </c>
    </row>
    <row r="2" spans="1:7" x14ac:dyDescent="0.4">
      <c r="G2" s="6" t="s">
        <v>278</v>
      </c>
    </row>
    <row r="3" spans="1:7" x14ac:dyDescent="0.4">
      <c r="G3" s="7" t="str" cm="1">
        <f t="array" aca="1" ref="G3" ca="1">chemin()</f>
        <v>C:\mes_dossiers_synchronises\gestion_budget_colocs_v1\documentation</v>
      </c>
    </row>
    <row r="5" spans="1:7" x14ac:dyDescent="0.4">
      <c r="B5" t="s">
        <v>280</v>
      </c>
    </row>
    <row r="6" spans="1:7" x14ac:dyDescent="0.4">
      <c r="B6" t="s">
        <v>286</v>
      </c>
    </row>
    <row r="8" spans="1:7" x14ac:dyDescent="0.4">
      <c r="B8" s="5" t="s">
        <v>281</v>
      </c>
    </row>
    <row r="9" spans="1:7" x14ac:dyDescent="0.4">
      <c r="C9" t="s">
        <v>282</v>
      </c>
    </row>
    <row r="10" spans="1:7" x14ac:dyDescent="0.4">
      <c r="D10" t="s">
        <v>283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</vt:i4>
      </vt:variant>
    </vt:vector>
  </HeadingPairs>
  <TitlesOfParts>
    <vt:vector size="10" baseType="lpstr">
      <vt:lpstr>Plan comptable</vt:lpstr>
      <vt:lpstr>Cas pratiques</vt:lpstr>
      <vt:lpstr>Memo</vt:lpstr>
      <vt:lpstr>Types de comptes</vt:lpstr>
      <vt:lpstr>Simulation</vt:lpstr>
      <vt:lpstr>Vocabulaire</vt:lpstr>
      <vt:lpstr>Nomenclature comptable</vt:lpstr>
      <vt:lpstr>Feuil3</vt:lpstr>
      <vt:lpstr>Interprétation</vt:lpstr>
      <vt:lpstr>'Nomenclature comptable'!Zone_d_impression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Yvon PLANCADE</cp:lastModifiedBy>
  <cp:lastPrinted>2026-01-03T08:17:38Z</cp:lastPrinted>
  <dcterms:created xsi:type="dcterms:W3CDTF">2025-12-06T04:08:59Z</dcterms:created>
  <dcterms:modified xsi:type="dcterms:W3CDTF">2026-01-04T08:41:14Z</dcterms:modified>
</cp:coreProperties>
</file>